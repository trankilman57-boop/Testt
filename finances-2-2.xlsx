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Feuil3" sheetId="4" state="visible" r:id="rId4"/>
    <sheet xmlns:r="http://schemas.openxmlformats.org/officeDocument/2006/relationships" name="Feuil2" sheetId="5" state="visible" r:id="rId5"/>
    <sheet xmlns:r="http://schemas.openxmlformats.org/officeDocument/2006/relationships" name="Feuil1" sheetId="6" state="visible" r:id="rId6"/>
    <sheet xmlns:r="http://schemas.openxmlformats.org/officeDocument/2006/relationships" name="ST" sheetId="7" state="visible" r:id="rId7"/>
    <sheet xmlns:r="http://schemas.openxmlformats.org/officeDocument/2006/relationships" name="Feuil6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4">
    <numFmt numFmtId="164" formatCode="#,##0.00&quot; €&quot;"/>
    <numFmt numFmtId="165" formatCode="#,##0&quot; €&quot;;\(#,##0&quot; €)&quot;;\-"/>
    <numFmt numFmtId="166" formatCode="0.00%;\-0.00%;\-"/>
    <numFmt numFmtId="167" formatCode="#,##0.00&quot; €&quot;;[RED]\-#,##0.00&quot; €&quot;"/>
    <numFmt numFmtId="168" formatCode="0.000"/>
    <numFmt numFmtId="169" formatCode="\€#,##0.00"/>
    <numFmt numFmtId="170" formatCode="\$#,##0.00"/>
    <numFmt numFmtId="171" formatCode="0.0000"/>
    <numFmt numFmtId="172" formatCode="0.0"/>
    <numFmt numFmtId="173" formatCode="m/d/yyyy"/>
    <numFmt numFmtId="174" formatCode="0.0%"/>
    <numFmt numFmtId="175" formatCode="&quot;($&quot;#,##0.00&quot; au taux actuel)&quot;"/>
    <numFmt numFmtId="176" formatCode="#,##0.00&quot; $&quot;;[Red]-#,##0.00&quot; $&quot;"/>
    <numFmt numFmtId="177" formatCode="#,##0.####"/>
  </numFmts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rgb="FFFFFFFF"/>
      <sz val="14"/>
    </font>
    <font>
      <name val="Arial"/>
      <charset val="1"/>
      <family val="2"/>
      <i val="1"/>
      <color rgb="FF808080"/>
      <sz val="9"/>
    </font>
    <font>
      <name val="Arial"/>
      <charset val="1"/>
      <family val="2"/>
      <b val="1"/>
      <color rgb="FFFFFFFF"/>
      <sz val="11"/>
    </font>
    <font>
      <name val="Arial"/>
      <charset val="1"/>
      <family val="2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i val="1"/>
      <color rgb="FF808080"/>
      <sz val="8"/>
    </font>
    <font>
      <name val="Arial"/>
      <charset val="1"/>
      <family val="2"/>
      <b val="1"/>
      <i val="1"/>
      <sz val="10"/>
    </font>
    <font>
      <name val="Arial"/>
      <charset val="1"/>
      <family val="2"/>
      <i val="1"/>
      <sz val="9"/>
    </font>
    <font>
      <name val="Arial"/>
      <charset val="1"/>
      <family val="2"/>
      <b val="1"/>
      <i val="1"/>
      <color rgb="FF808080"/>
      <sz val="9"/>
    </font>
    <font>
      <name val="Arial"/>
      <charset val="1"/>
      <family val="2"/>
      <b val="1"/>
      <color rgb="FF1F4E78"/>
      <sz val="14"/>
    </font>
    <font>
      <name val="Arial"/>
      <charset val="1"/>
      <family val="2"/>
      <b val="1"/>
      <i val="1"/>
      <sz val="9"/>
    </font>
    <font>
      <name val="Arial"/>
      <charset val="1"/>
      <family val="2"/>
      <b val="1"/>
      <color rgb="FF000000"/>
      <sz val="11"/>
    </font>
    <font>
      <name val="Arial"/>
      <charset val="1"/>
      <family val="2"/>
      <sz val="11"/>
    </font>
    <font>
      <name val="Arial"/>
      <charset val="1"/>
      <family val="2"/>
      <color rgb="FF000000"/>
      <sz val="11"/>
    </font>
    <font>
      <name val="Arial"/>
      <charset val="1"/>
      <family val="2"/>
      <color rgb="FF0000FF"/>
      <sz val="11"/>
    </font>
    <font>
      <name val="Arial"/>
      <charset val="1"/>
      <family val="2"/>
      <i val="1"/>
      <color rgb="FFFF0000"/>
      <sz val="9"/>
    </font>
    <font>
      <name val="Arial"/>
      <charset val="1"/>
      <family val="0"/>
      <b val="1"/>
      <color rgb="FF1F4E78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i val="1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i val="1"/>
      <color rgb="FFFF0000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b val="1"/>
      <sz val="11"/>
    </font>
  </fonts>
  <fills count="20">
    <fill>
      <patternFill/>
    </fill>
    <fill>
      <patternFill patternType="gray125"/>
    </fill>
    <fill>
      <patternFill patternType="solid">
        <fgColor theme="5" tint="0.7999000000000001"/>
        <bgColor rgb="FFFCE4D6"/>
      </patternFill>
    </fill>
    <fill>
      <patternFill patternType="solid">
        <fgColor theme="6" tint="0.5999"/>
        <bgColor rgb="FFD9E1F2"/>
      </patternFill>
    </fill>
    <fill>
      <patternFill patternType="solid">
        <fgColor theme="7" tint="0.7999000000000001"/>
        <bgColor rgb="FFFFFFCC"/>
      </patternFill>
    </fill>
    <fill>
      <patternFill patternType="solid">
        <fgColor theme="9" tint="0.7999000000000001"/>
        <bgColor rgb="FFE2EFDA"/>
      </patternFill>
    </fill>
    <fill>
      <patternFill patternType="solid">
        <fgColor theme="0"/>
        <bgColor rgb="FFF2F2F2"/>
      </patternFill>
    </fill>
    <fill>
      <patternFill patternType="solid">
        <fgColor theme="8" tint="0.7999000000000001"/>
        <bgColor rgb="FFD9E1F2"/>
      </patternFill>
    </fill>
    <fill>
      <patternFill patternType="solid">
        <fgColor theme="4" tint="0.5999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CC"/>
        <bgColor rgb="FFFFF2CC"/>
      </patternFill>
    </fill>
    <fill>
      <patternFill patternType="solid">
        <fgColor rgb="FFD9E1F2"/>
        <bgColor rgb="FFDAE3F3"/>
      </patternFill>
    </fill>
    <fill>
      <patternFill patternType="solid">
        <fgColor theme="4" tint="0.3999"/>
        <bgColor rgb="FFBFBFBF"/>
      </patternFill>
    </fill>
    <fill>
      <patternFill patternType="solid">
        <fgColor rgb="FFFFFF00"/>
        <bgColor rgb="FFFFFF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E2F0D9"/>
      </patternFill>
    </fill>
    <fill>
      <patternFill patternType="solid">
        <fgColor rgb="FFFFC7CE"/>
        <bgColor rgb="FFFCE4D6"/>
      </patternFill>
    </fill>
    <fill>
      <patternFill patternType="solid">
        <fgColor rgb="FFDDEBF7"/>
        <bgColor rgb="FFDAE3F3"/>
      </patternFill>
    </fill>
    <fill>
      <patternFill patternType="solid">
        <fgColor rgb="FFFCE4D6"/>
        <bgColor rgb="FFFBE5D6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1"/>
      </left>
      <right style="thick">
        <color theme="4"/>
      </right>
      <top style="thin">
        <color theme="1"/>
      </top>
      <bottom style="thin">
        <color theme="1"/>
      </bottom>
      <diagonal/>
    </border>
    <border>
      <left style="thick">
        <color theme="4"/>
      </left>
      <right style="thin"/>
      <top style="thin"/>
      <bottom style="thin"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ck">
        <color theme="4"/>
      </left>
      <right/>
      <top/>
      <bottom style="thin">
        <color theme="1"/>
      </bottom>
      <diagonal/>
    </border>
    <border>
      <left style="thick">
        <color theme="4"/>
      </left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ck">
        <color theme="4"/>
      </left>
      <right/>
      <top style="thin"/>
      <bottom style="thin"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 style="thick">
        <color theme="4"/>
      </left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thick">
        <color theme="4"/>
      </left>
      <right/>
      <top style="thin"/>
      <bottom/>
      <diagonal/>
    </border>
    <border>
      <left style="thick">
        <color theme="4"/>
      </left>
      <right style="thin">
        <color theme="1"/>
      </right>
      <top style="thin">
        <color theme="1"/>
      </top>
      <bottom style="thick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4"/>
      </bottom>
      <diagonal/>
    </border>
    <border>
      <left style="thin">
        <color theme="1"/>
      </left>
      <right/>
      <top style="thin">
        <color theme="1"/>
      </top>
      <bottom style="thick">
        <color theme="4"/>
      </bottom>
      <diagonal/>
    </border>
    <border>
      <left style="thick">
        <color theme="4"/>
      </left>
      <right/>
      <top style="thin">
        <color theme="1"/>
      </top>
      <bottom style="thick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textRotation="255"/>
    </xf>
    <xf numFmtId="0" fontId="0" fillId="0" borderId="2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2" fontId="0" fillId="2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2" fontId="0" fillId="3" borderId="1" applyAlignment="1" pivotButton="0" quotePrefix="0" xfId="0">
      <alignment horizontal="general" vertical="bottom"/>
    </xf>
    <xf numFmtId="20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right" vertical="bottom" textRotation="255"/>
    </xf>
    <xf numFmtId="0" fontId="0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 textRotation="255" shrinkToFit="1"/>
    </xf>
    <xf numFmtId="0" fontId="0" fillId="0" borderId="1" applyAlignment="1" pivotButton="0" quotePrefix="0" xfId="0">
      <alignment horizontal="general" vertical="bottom" shrinkToFit="1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right" vertical="bottom" textRotation="255" shrinkToFit="1"/>
    </xf>
    <xf numFmtId="0" fontId="0" fillId="0" borderId="2" applyAlignment="1" pivotButton="0" quotePrefix="0" xfId="0">
      <alignment horizontal="general" vertical="bottom" shrinkToFit="1"/>
    </xf>
    <xf numFmtId="0" fontId="0" fillId="7" borderId="2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 textRotation="255" shrinkToFit="1"/>
    </xf>
    <xf numFmtId="0" fontId="0" fillId="7" borderId="0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8" borderId="3" applyAlignment="1" pivotButton="0" quotePrefix="0" xfId="0">
      <alignment horizontal="general" vertical="bottom"/>
    </xf>
    <xf numFmtId="164" fontId="0" fillId="0" borderId="3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5" fillId="9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10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11" borderId="4" applyAlignment="1" pivotButton="0" quotePrefix="0" xfId="0">
      <alignment horizontal="general" vertical="bottom"/>
    </xf>
    <xf numFmtId="166" fontId="9" fillId="11" borderId="4" applyAlignment="1" pivotButton="0" quotePrefix="0" xfId="0">
      <alignment horizontal="general" vertical="bottom"/>
    </xf>
    <xf numFmtId="165" fontId="8" fillId="0" borderId="4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12" borderId="4" applyAlignment="1" pivotButton="0" quotePrefix="0" xfId="0">
      <alignment horizontal="general" vertical="bottom"/>
    </xf>
    <xf numFmtId="1" fontId="9" fillId="11" borderId="4" applyAlignment="1" pivotButton="0" quotePrefix="0" xfId="0">
      <alignment horizontal="general" vertical="bottom"/>
    </xf>
    <xf numFmtId="166" fontId="11" fillId="0" borderId="4" applyAlignment="1" pivotButton="0" quotePrefix="0" xfId="0">
      <alignment horizontal="general" vertical="bottom"/>
    </xf>
    <xf numFmtId="165" fontId="11" fillId="0" borderId="4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7" fillId="10" borderId="4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7" fillId="9" borderId="0" applyAlignment="1" pivotButton="0" quotePrefix="0" xfId="0">
      <alignment horizontal="general" vertical="bottom"/>
    </xf>
    <xf numFmtId="165" fontId="7" fillId="9" borderId="4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4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2" fontId="0" fillId="0" borderId="10" applyAlignment="1" pivotButton="0" quotePrefix="0" xfId="0">
      <alignment horizontal="general" vertical="bottom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bottom"/>
    </xf>
    <xf numFmtId="0" fontId="4" fillId="13" borderId="11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2" fontId="0" fillId="0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4" fillId="13" borderId="12" applyAlignment="1" pivotButton="0" quotePrefix="0" xfId="0">
      <alignment horizontal="center" vertical="center"/>
    </xf>
    <xf numFmtId="167" fontId="4" fillId="13" borderId="1" applyAlignment="1" pivotButton="0" quotePrefix="0" xfId="0">
      <alignment horizontal="center" vertical="center"/>
    </xf>
    <xf numFmtId="0" fontId="4" fillId="13" borderId="11" applyAlignment="1" pivotButton="0" quotePrefix="0" xfId="0">
      <alignment horizontal="center" vertical="center"/>
    </xf>
    <xf numFmtId="0" fontId="4" fillId="13" borderId="13" applyAlignment="1" pivotButton="0" quotePrefix="0" xfId="0">
      <alignment horizontal="center" vertical="center"/>
    </xf>
    <xf numFmtId="0" fontId="4" fillId="13" borderId="1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bottom"/>
    </xf>
    <xf numFmtId="2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2" fontId="0" fillId="0" borderId="9" applyAlignment="1" pivotButton="0" quotePrefix="0" xfId="0">
      <alignment horizontal="center" vertical="bottom"/>
    </xf>
    <xf numFmtId="0" fontId="0" fillId="0" borderId="15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2" fontId="0" fillId="0" borderId="3" applyAlignment="1" pivotButton="0" quotePrefix="0" xfId="0">
      <alignment horizontal="general" vertical="bottom"/>
    </xf>
    <xf numFmtId="1" fontId="0" fillId="0" borderId="3" applyAlignment="1" pivotButton="0" quotePrefix="0" xfId="0">
      <alignment horizontal="general" vertical="bottom"/>
    </xf>
    <xf numFmtId="2" fontId="0" fillId="0" borderId="13" applyAlignment="1" pivotButton="0" quotePrefix="0" xfId="0">
      <alignment horizontal="general" vertical="bottom"/>
    </xf>
    <xf numFmtId="2" fontId="0" fillId="0" borderId="14" applyAlignment="1" pivotButton="0" quotePrefix="0" xfId="0">
      <alignment horizontal="general" vertical="bottom"/>
    </xf>
    <xf numFmtId="2" fontId="0" fillId="0" borderId="1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2" fontId="0" fillId="0" borderId="16" applyAlignment="1" pivotButton="0" quotePrefix="0" xfId="0">
      <alignment horizontal="general" vertical="bottom"/>
    </xf>
    <xf numFmtId="2" fontId="0" fillId="0" borderId="17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2" fontId="0" fillId="0" borderId="21" applyAlignment="1" pivotButton="0" quotePrefix="0" xfId="0">
      <alignment horizontal="general" vertical="bottom"/>
    </xf>
    <xf numFmtId="2" fontId="0" fillId="0" borderId="22" applyAlignment="1" pivotButton="0" quotePrefix="0" xfId="0">
      <alignment horizontal="general" vertical="bottom"/>
    </xf>
    <xf numFmtId="2" fontId="0" fillId="0" borderId="23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24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2" fontId="0" fillId="0" borderId="25" applyAlignment="1" pivotButton="0" quotePrefix="0" xfId="0">
      <alignment horizontal="general" vertical="bottom"/>
    </xf>
    <xf numFmtId="2" fontId="0" fillId="0" borderId="26" applyAlignment="1" pivotButton="0" quotePrefix="0" xfId="0">
      <alignment horizontal="general" vertical="bottom"/>
    </xf>
    <xf numFmtId="2" fontId="0" fillId="0" borderId="27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168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7" fillId="15" borderId="0" applyAlignment="1" pivotButton="0" quotePrefix="0" xfId="0">
      <alignment horizontal="general" vertical="bottom"/>
    </xf>
    <xf numFmtId="0" fontId="18" fillId="12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9" fontId="20" fillId="0" borderId="28" applyAlignment="1" pivotButton="0" quotePrefix="0" xfId="0">
      <alignment horizontal="general" vertical="bottom"/>
    </xf>
    <xf numFmtId="2" fontId="21" fillId="14" borderId="28" applyAlignment="1" pivotButton="0" quotePrefix="0" xfId="0">
      <alignment horizontal="general" vertical="bottom"/>
    </xf>
    <xf numFmtId="170" fontId="20" fillId="0" borderId="28" applyAlignment="1" pivotButton="0" quotePrefix="0" xfId="0">
      <alignment horizontal="general" vertical="bottom"/>
    </xf>
    <xf numFmtId="170" fontId="21" fillId="14" borderId="28" applyAlignment="1" pivotButton="0" quotePrefix="0" xfId="0">
      <alignment horizontal="general" vertical="bottom"/>
    </xf>
    <xf numFmtId="171" fontId="21" fillId="14" borderId="28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9" fontId="21" fillId="14" borderId="28" applyAlignment="1" pivotButton="0" quotePrefix="0" xfId="0">
      <alignment horizontal="general" vertical="bottom"/>
    </xf>
    <xf numFmtId="171" fontId="20" fillId="0" borderId="28" applyAlignment="1" pivotButton="0" quotePrefix="0" xfId="0">
      <alignment horizontal="general" vertical="bottom"/>
    </xf>
    <xf numFmtId="169" fontId="10" fillId="16" borderId="28" applyAlignment="1" pivotButton="0" quotePrefix="0" xfId="0">
      <alignment horizontal="general" vertical="bottom"/>
    </xf>
    <xf numFmtId="10" fontId="10" fillId="16" borderId="28" applyAlignment="1" pivotButton="0" quotePrefix="0" xfId="0">
      <alignment horizontal="general" vertical="bottom"/>
    </xf>
    <xf numFmtId="10" fontId="21" fillId="14" borderId="28" applyAlignment="1" pivotButton="0" quotePrefix="0" xfId="0">
      <alignment horizontal="general" vertical="bottom"/>
    </xf>
    <xf numFmtId="170" fontId="20" fillId="4" borderId="28" applyAlignment="1" pivotButton="0" quotePrefix="0" xfId="0">
      <alignment horizontal="general" vertical="bottom"/>
    </xf>
    <xf numFmtId="169" fontId="10" fillId="17" borderId="28" applyAlignment="1" pivotButton="0" quotePrefix="0" xfId="0">
      <alignment horizontal="general" vertical="bottom"/>
    </xf>
    <xf numFmtId="10" fontId="10" fillId="17" borderId="28" applyAlignment="1" pivotButton="0" quotePrefix="0" xfId="0">
      <alignment horizontal="general" vertical="bottom"/>
    </xf>
    <xf numFmtId="169" fontId="20" fillId="4" borderId="28" applyAlignment="1" pivotButton="0" quotePrefix="0" xfId="0">
      <alignment horizontal="general" vertical="bottom"/>
    </xf>
    <xf numFmtId="0" fontId="7" fillId="9" borderId="28" applyAlignment="1" pivotButton="0" quotePrefix="0" xfId="0">
      <alignment horizontal="center" vertical="center" wrapText="1"/>
    </xf>
    <xf numFmtId="0" fontId="21" fillId="14" borderId="28" applyAlignment="1" pivotButton="0" quotePrefix="0" xfId="0">
      <alignment horizontal="general" vertical="bottom"/>
    </xf>
    <xf numFmtId="0" fontId="0" fillId="0" borderId="28" applyAlignment="1" pivotButton="0" quotePrefix="0" xfId="0">
      <alignment horizontal="general" vertical="bottom"/>
    </xf>
    <xf numFmtId="172" fontId="21" fillId="14" borderId="28" applyAlignment="1" pivotButton="0" quotePrefix="0" xfId="0">
      <alignment horizontal="general" vertical="bottom"/>
    </xf>
    <xf numFmtId="169" fontId="10" fillId="18" borderId="28" applyAlignment="1" pivotButton="0" quotePrefix="0" xfId="0">
      <alignment horizontal="general" vertical="bottom"/>
    </xf>
    <xf numFmtId="4" fontId="21" fillId="14" borderId="28" applyAlignment="1" pivotButton="0" quotePrefix="0" xfId="0">
      <alignment horizontal="general" vertical="bottom"/>
    </xf>
    <xf numFmtId="172" fontId="20" fillId="0" borderId="28" applyAlignment="1" pivotButton="0" quotePrefix="0" xfId="0">
      <alignment horizontal="general" vertical="bottom"/>
    </xf>
    <xf numFmtId="2" fontId="20" fillId="4" borderId="28" applyAlignment="1" pivotButton="0" quotePrefix="0" xfId="0">
      <alignment horizontal="general" vertical="bottom"/>
    </xf>
    <xf numFmtId="172" fontId="10" fillId="16" borderId="28" applyAlignment="1" pivotButton="0" quotePrefix="0" xfId="0">
      <alignment horizontal="general" vertical="bottom"/>
    </xf>
    <xf numFmtId="170" fontId="10" fillId="16" borderId="28" applyAlignment="1" pivotButton="0" quotePrefix="0" xfId="0">
      <alignment horizontal="general" vertical="bottom"/>
    </xf>
    <xf numFmtId="169" fontId="10" fillId="19" borderId="28" applyAlignment="1" pivotButton="0" quotePrefix="0" xfId="0">
      <alignment horizontal="general" vertical="bottom"/>
    </xf>
    <xf numFmtId="2" fontId="10" fillId="16" borderId="28" applyAlignment="1" pivotButton="0" quotePrefix="0" xfId="0">
      <alignment horizontal="general" vertical="bottom"/>
    </xf>
    <xf numFmtId="173" fontId="21" fillId="14" borderId="28" applyAlignment="1" pivotButton="0" quotePrefix="0" xfId="0">
      <alignment horizontal="general" vertical="bottom"/>
    </xf>
    <xf numFmtId="0" fontId="18" fillId="12" borderId="0" applyAlignment="1" pivotButton="0" quotePrefix="0" xfId="0">
      <alignment horizontal="general" vertical="bottom"/>
    </xf>
    <xf numFmtId="10" fontId="10" fillId="19" borderId="28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15" borderId="0" applyAlignment="1" pivotButton="0" quotePrefix="0" xfId="0">
      <alignment horizontal="general" vertical="bottom"/>
    </xf>
    <xf numFmtId="0" fontId="26" fillId="12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69" fontId="28" fillId="0" borderId="28" applyAlignment="1" pivotButton="0" quotePrefix="0" xfId="0">
      <alignment horizontal="general" vertical="bottom"/>
    </xf>
    <xf numFmtId="170" fontId="28" fillId="0" borderId="28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69" fontId="30" fillId="16" borderId="28" applyAlignment="1" pivotButton="0" quotePrefix="0" xfId="0">
      <alignment horizontal="general" vertical="bottom"/>
    </xf>
    <xf numFmtId="10" fontId="30" fillId="16" borderId="28" applyAlignment="1" pivotButton="0" quotePrefix="0" xfId="0">
      <alignment horizontal="general" vertical="bottom"/>
    </xf>
    <xf numFmtId="1" fontId="21" fillId="14" borderId="28" applyAlignment="1" pivotButton="0" quotePrefix="0" xfId="0">
      <alignment horizontal="general" vertical="bottom"/>
    </xf>
    <xf numFmtId="174" fontId="28" fillId="0" borderId="28" applyAlignment="1" pivotButton="0" quotePrefix="0" xfId="0">
      <alignment horizontal="general" vertical="bottom"/>
    </xf>
    <xf numFmtId="169" fontId="30" fillId="17" borderId="28" applyAlignment="1" pivotButton="0" quotePrefix="0" xfId="0">
      <alignment horizontal="general" vertical="bottom"/>
    </xf>
    <xf numFmtId="2" fontId="28" fillId="0" borderId="28" applyAlignment="1" pivotButton="0" quotePrefix="0" xfId="0">
      <alignment horizontal="general" vertical="bottom"/>
    </xf>
    <xf numFmtId="10" fontId="30" fillId="17" borderId="28" applyAlignment="1" pivotButton="0" quotePrefix="0" xfId="0">
      <alignment horizontal="general" vertical="bottom"/>
    </xf>
    <xf numFmtId="2" fontId="31" fillId="14" borderId="28" applyAlignment="1" pivotButton="0" quotePrefix="0" xfId="0">
      <alignment horizontal="general" vertical="bottom"/>
    </xf>
    <xf numFmtId="169" fontId="28" fillId="4" borderId="28" applyAlignment="1" pivotButton="0" quotePrefix="0" xfId="0">
      <alignment horizontal="general" vertical="bottom"/>
    </xf>
    <xf numFmtId="2" fontId="28" fillId="4" borderId="28" applyAlignment="1" pivotButton="0" quotePrefix="0" xfId="0">
      <alignment horizontal="general" vertical="bottom"/>
    </xf>
    <xf numFmtId="170" fontId="28" fillId="4" borderId="28" applyAlignment="1" pivotButton="0" quotePrefix="0" xfId="0">
      <alignment horizontal="general" vertical="bottom"/>
    </xf>
    <xf numFmtId="0" fontId="26" fillId="12" borderId="0" applyAlignment="1" pivotButton="0" quotePrefix="0" xfId="0">
      <alignment horizontal="general" vertical="bottom"/>
    </xf>
    <xf numFmtId="2" fontId="30" fillId="19" borderId="28" applyAlignment="1" pivotButton="0" quotePrefix="0" xfId="0">
      <alignment horizontal="general" vertical="bottom"/>
    </xf>
    <xf numFmtId="169" fontId="30" fillId="19" borderId="28" applyAlignment="1" pivotButton="0" quotePrefix="0" xfId="0">
      <alignment horizontal="general" vertical="bottom"/>
    </xf>
    <xf numFmtId="0" fontId="30" fillId="0" borderId="28" applyAlignment="1" pivotButton="0" quotePrefix="0" xfId="0">
      <alignment horizontal="general" vertical="bottom"/>
    </xf>
    <xf numFmtId="169" fontId="31" fillId="14" borderId="28" applyAlignment="1" pivotButton="0" quotePrefix="0" xfId="0">
      <alignment horizontal="general" vertical="bottom"/>
    </xf>
    <xf numFmtId="10" fontId="31" fillId="14" borderId="28" applyAlignment="1" pivotButton="0" quotePrefix="0" xfId="0">
      <alignment horizontal="general" vertical="bottom"/>
    </xf>
    <xf numFmtId="1" fontId="31" fillId="14" borderId="28" applyAlignment="1" pivotButton="0" quotePrefix="0" xfId="0">
      <alignment horizontal="general" vertical="bottom"/>
    </xf>
    <xf numFmtId="0" fontId="31" fillId="14" borderId="28" applyAlignment="1" pivotButton="0" quotePrefix="0" xfId="0">
      <alignment horizontal="general" vertical="bottom"/>
    </xf>
    <xf numFmtId="172" fontId="31" fillId="14" borderId="28" applyAlignment="1" pivotButton="0" quotePrefix="0" xfId="0">
      <alignment horizontal="general" vertical="bottom"/>
    </xf>
    <xf numFmtId="169" fontId="30" fillId="18" borderId="28" applyAlignment="1" pivotButton="0" quotePrefix="0" xfId="0">
      <alignment horizontal="general" vertical="bottom"/>
    </xf>
    <xf numFmtId="4" fontId="31" fillId="14" borderId="28" applyAlignment="1" pivotButton="0" quotePrefix="0" xfId="0">
      <alignment horizontal="general" vertical="bottom"/>
    </xf>
    <xf numFmtId="171" fontId="31" fillId="14" borderId="28" applyAlignment="1" pivotButton="0" quotePrefix="0" xfId="0">
      <alignment horizontal="general" vertical="bottom"/>
    </xf>
    <xf numFmtId="171" fontId="28" fillId="0" borderId="28" applyAlignment="1" pivotButton="0" quotePrefix="0" xfId="0">
      <alignment horizontal="general" vertical="bottom"/>
    </xf>
    <xf numFmtId="172" fontId="28" fillId="0" borderId="28" applyAlignment="1" pivotButton="0" quotePrefix="0" xfId="0">
      <alignment horizontal="general" vertical="bottom"/>
    </xf>
    <xf numFmtId="172" fontId="30" fillId="16" borderId="28" applyAlignment="1" pivotButton="0" quotePrefix="0" xfId="0">
      <alignment horizontal="general" vertical="bottom"/>
    </xf>
    <xf numFmtId="170" fontId="30" fillId="16" borderId="28" applyAlignment="1" pivotButton="0" quotePrefix="0" xfId="0">
      <alignment horizontal="general" vertical="bottom"/>
    </xf>
    <xf numFmtId="175" fontId="24" fillId="0" borderId="0" applyAlignment="1" pivotButton="0" quotePrefix="0" xfId="0">
      <alignment horizontal="general" vertical="bottom"/>
    </xf>
    <xf numFmtId="2" fontId="30" fillId="16" borderId="28" applyAlignment="1" pivotButton="0" quotePrefix="0" xfId="0">
      <alignment horizontal="general" vertical="bottom"/>
    </xf>
    <xf numFmtId="0" fontId="32" fillId="9" borderId="28" applyAlignment="1" pivotButton="0" quotePrefix="0" xfId="0">
      <alignment horizontal="center" vertical="center" wrapText="1"/>
    </xf>
    <xf numFmtId="173" fontId="31" fillId="14" borderId="28" applyAlignment="1" pivotButton="0" quotePrefix="0" xfId="0">
      <alignment horizontal="general" vertical="bottom"/>
    </xf>
    <xf numFmtId="10" fontId="30" fillId="19" borderId="28" applyAlignment="1" pivotButton="0" quotePrefix="0" xfId="0">
      <alignment horizontal="general" vertical="bottom"/>
    </xf>
    <xf numFmtId="169" fontId="30" fillId="19" borderId="28" applyAlignment="1" pivotButton="0" quotePrefix="0" xfId="0">
      <alignment horizontal="general" vertical="bottom"/>
    </xf>
    <xf numFmtId="175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textRotation="255"/>
    </xf>
    <xf numFmtId="0" fontId="0" fillId="0" borderId="2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0" borderId="30" pivotButton="0" quotePrefix="0" xfId="0"/>
    <xf numFmtId="2" fontId="0" fillId="2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2" fontId="0" fillId="3" borderId="1" applyAlignment="1" pivotButton="0" quotePrefix="0" xfId="0">
      <alignment horizontal="general" vertical="bottom"/>
    </xf>
    <xf numFmtId="20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0" borderId="3" pivotButton="0" quotePrefix="0" xfId="0"/>
    <xf numFmtId="0" fontId="0" fillId="0" borderId="1" applyAlignment="1" pivotButton="0" quotePrefix="0" xfId="0">
      <alignment horizontal="right" vertical="bottom" textRotation="255"/>
    </xf>
    <xf numFmtId="0" fontId="0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 textRotation="255" shrinkToFit="1"/>
    </xf>
    <xf numFmtId="0" fontId="0" fillId="0" borderId="1" applyAlignment="1" pivotButton="0" quotePrefix="0" xfId="0">
      <alignment horizontal="general" vertical="bottom" shrinkToFit="1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right" vertical="bottom" textRotation="255" shrinkToFit="1"/>
    </xf>
    <xf numFmtId="0" fontId="0" fillId="0" borderId="2" applyAlignment="1" pivotButton="0" quotePrefix="0" xfId="0">
      <alignment horizontal="general" vertical="bottom" shrinkToFit="1"/>
    </xf>
    <xf numFmtId="0" fontId="0" fillId="7" borderId="2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 textRotation="255" shrinkToFit="1"/>
    </xf>
    <xf numFmtId="0" fontId="0" fillId="7" borderId="0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8" borderId="3" applyAlignment="1" pivotButton="0" quotePrefix="0" xfId="0">
      <alignment horizontal="general" vertical="bottom"/>
    </xf>
    <xf numFmtId="164" fontId="0" fillId="0" borderId="3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5" fillId="9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10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11" borderId="4" applyAlignment="1" pivotButton="0" quotePrefix="0" xfId="0">
      <alignment horizontal="general" vertical="bottom"/>
    </xf>
    <xf numFmtId="166" fontId="9" fillId="11" borderId="4" applyAlignment="1" pivotButton="0" quotePrefix="0" xfId="0">
      <alignment horizontal="general" vertical="bottom"/>
    </xf>
    <xf numFmtId="165" fontId="8" fillId="0" borderId="4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12" borderId="4" applyAlignment="1" pivotButton="0" quotePrefix="0" xfId="0">
      <alignment horizontal="general" vertical="bottom"/>
    </xf>
    <xf numFmtId="1" fontId="9" fillId="11" borderId="4" applyAlignment="1" pivotButton="0" quotePrefix="0" xfId="0">
      <alignment horizontal="general" vertical="bottom"/>
    </xf>
    <xf numFmtId="166" fontId="11" fillId="0" borderId="4" applyAlignment="1" pivotButton="0" quotePrefix="0" xfId="0">
      <alignment horizontal="general" vertical="bottom"/>
    </xf>
    <xf numFmtId="165" fontId="11" fillId="0" borderId="4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7" fillId="10" borderId="4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7" fillId="9" borderId="0" applyAlignment="1" pivotButton="0" quotePrefix="0" xfId="0">
      <alignment horizontal="general" vertical="bottom"/>
    </xf>
    <xf numFmtId="165" fontId="7" fillId="9" borderId="4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4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2" fontId="0" fillId="0" borderId="10" applyAlignment="1" pivotButton="0" quotePrefix="0" xfId="0">
      <alignment horizontal="general" vertical="bottom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bottom"/>
    </xf>
    <xf numFmtId="0" fontId="4" fillId="13" borderId="11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2" fontId="0" fillId="0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4" fillId="13" borderId="12" applyAlignment="1" pivotButton="0" quotePrefix="0" xfId="0">
      <alignment horizontal="center" vertical="center"/>
    </xf>
    <xf numFmtId="167" fontId="4" fillId="13" borderId="1" applyAlignment="1" pivotButton="0" quotePrefix="0" xfId="0">
      <alignment horizontal="center" vertical="center"/>
    </xf>
    <xf numFmtId="0" fontId="4" fillId="13" borderId="11" applyAlignment="1" pivotButton="0" quotePrefix="0" xfId="0">
      <alignment horizontal="center" vertical="center"/>
    </xf>
    <xf numFmtId="0" fontId="4" fillId="13" borderId="13" applyAlignment="1" pivotButton="0" quotePrefix="0" xfId="0">
      <alignment horizontal="center" vertical="center"/>
    </xf>
    <xf numFmtId="0" fontId="4" fillId="13" borderId="1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bottom"/>
    </xf>
    <xf numFmtId="2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2" fontId="0" fillId="0" borderId="9" applyAlignment="1" pivotButton="0" quotePrefix="0" xfId="0">
      <alignment horizontal="center" vertical="bottom"/>
    </xf>
    <xf numFmtId="0" fontId="0" fillId="0" borderId="15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2" fontId="0" fillId="0" borderId="3" applyAlignment="1" pivotButton="0" quotePrefix="0" xfId="0">
      <alignment horizontal="general" vertical="bottom"/>
    </xf>
    <xf numFmtId="1" fontId="0" fillId="0" borderId="3" applyAlignment="1" pivotButton="0" quotePrefix="0" xfId="0">
      <alignment horizontal="general" vertical="bottom"/>
    </xf>
    <xf numFmtId="2" fontId="0" fillId="0" borderId="13" applyAlignment="1" pivotButton="0" quotePrefix="0" xfId="0">
      <alignment horizontal="general" vertical="bottom"/>
    </xf>
    <xf numFmtId="2" fontId="0" fillId="0" borderId="14" applyAlignment="1" pivotButton="0" quotePrefix="0" xfId="0">
      <alignment horizontal="general" vertical="bottom"/>
    </xf>
    <xf numFmtId="2" fontId="0" fillId="0" borderId="1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2" fontId="0" fillId="0" borderId="16" applyAlignment="1" pivotButton="0" quotePrefix="0" xfId="0">
      <alignment horizontal="general" vertical="bottom"/>
    </xf>
    <xf numFmtId="2" fontId="0" fillId="0" borderId="17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2" fontId="0" fillId="0" borderId="21" applyAlignment="1" pivotButton="0" quotePrefix="0" xfId="0">
      <alignment horizontal="general" vertical="bottom"/>
    </xf>
    <xf numFmtId="2" fontId="0" fillId="0" borderId="22" applyAlignment="1" pivotButton="0" quotePrefix="0" xfId="0">
      <alignment horizontal="general" vertical="bottom"/>
    </xf>
    <xf numFmtId="2" fontId="0" fillId="0" borderId="23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24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2" fontId="0" fillId="0" borderId="25" applyAlignment="1" pivotButton="0" quotePrefix="0" xfId="0">
      <alignment horizontal="general" vertical="bottom"/>
    </xf>
    <xf numFmtId="2" fontId="0" fillId="0" borderId="26" applyAlignment="1" pivotButton="0" quotePrefix="0" xfId="0">
      <alignment horizontal="general" vertical="bottom"/>
    </xf>
    <xf numFmtId="2" fontId="0" fillId="0" borderId="27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168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15" borderId="0" applyAlignment="1" pivotButton="0" quotePrefix="0" xfId="0">
      <alignment horizontal="general" vertical="bottom"/>
    </xf>
    <xf numFmtId="0" fontId="18" fillId="12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9" fontId="20" fillId="0" borderId="28" applyAlignment="1" pivotButton="0" quotePrefix="0" xfId="0">
      <alignment horizontal="general" vertical="bottom"/>
    </xf>
    <xf numFmtId="2" fontId="21" fillId="14" borderId="28" applyAlignment="1" pivotButton="0" quotePrefix="0" xfId="0">
      <alignment horizontal="general" vertical="bottom"/>
    </xf>
    <xf numFmtId="170" fontId="20" fillId="0" borderId="28" applyAlignment="1" pivotButton="0" quotePrefix="0" xfId="0">
      <alignment horizontal="general" vertical="bottom"/>
    </xf>
    <xf numFmtId="170" fontId="21" fillId="14" borderId="28" applyAlignment="1" pivotButton="0" quotePrefix="0" xfId="0">
      <alignment horizontal="general" vertical="bottom"/>
    </xf>
    <xf numFmtId="171" fontId="21" fillId="14" borderId="28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9" fontId="21" fillId="14" borderId="28" applyAlignment="1" pivotButton="0" quotePrefix="0" xfId="0">
      <alignment horizontal="general" vertical="bottom"/>
    </xf>
    <xf numFmtId="171" fontId="20" fillId="0" borderId="28" applyAlignment="1" pivotButton="0" quotePrefix="0" xfId="0">
      <alignment horizontal="general" vertical="bottom"/>
    </xf>
    <xf numFmtId="169" fontId="10" fillId="16" borderId="28" applyAlignment="1" pivotButton="0" quotePrefix="0" xfId="0">
      <alignment horizontal="general" vertical="bottom"/>
    </xf>
    <xf numFmtId="10" fontId="10" fillId="16" borderId="28" applyAlignment="1" pivotButton="0" quotePrefix="0" xfId="0">
      <alignment horizontal="general" vertical="bottom"/>
    </xf>
    <xf numFmtId="10" fontId="21" fillId="14" borderId="28" applyAlignment="1" pivotButton="0" quotePrefix="0" xfId="0">
      <alignment horizontal="general" vertical="bottom"/>
    </xf>
    <xf numFmtId="170" fontId="20" fillId="4" borderId="28" applyAlignment="1" pivotButton="0" quotePrefix="0" xfId="0">
      <alignment horizontal="general" vertical="bottom"/>
    </xf>
    <xf numFmtId="169" fontId="10" fillId="17" borderId="28" applyAlignment="1" pivotButton="0" quotePrefix="0" xfId="0">
      <alignment horizontal="general" vertical="bottom"/>
    </xf>
    <xf numFmtId="10" fontId="10" fillId="17" borderId="28" applyAlignment="1" pivotButton="0" quotePrefix="0" xfId="0">
      <alignment horizontal="general" vertical="bottom"/>
    </xf>
    <xf numFmtId="169" fontId="20" fillId="4" borderId="28" applyAlignment="1" pivotButton="0" quotePrefix="0" xfId="0">
      <alignment horizontal="general" vertical="bottom"/>
    </xf>
    <xf numFmtId="0" fontId="7" fillId="9" borderId="28" applyAlignment="1" pivotButton="0" quotePrefix="0" xfId="0">
      <alignment horizontal="center" vertical="center" wrapText="1"/>
    </xf>
    <xf numFmtId="0" fontId="21" fillId="14" borderId="28" applyAlignment="1" pivotButton="0" quotePrefix="0" xfId="0">
      <alignment horizontal="general" vertical="bottom"/>
    </xf>
    <xf numFmtId="0" fontId="0" fillId="0" borderId="28" applyAlignment="1" pivotButton="0" quotePrefix="0" xfId="0">
      <alignment horizontal="general" vertical="bottom"/>
    </xf>
    <xf numFmtId="172" fontId="21" fillId="14" borderId="28" applyAlignment="1" pivotButton="0" quotePrefix="0" xfId="0">
      <alignment horizontal="general" vertical="bottom"/>
    </xf>
    <xf numFmtId="169" fontId="10" fillId="18" borderId="28" applyAlignment="1" pivotButton="0" quotePrefix="0" xfId="0">
      <alignment horizontal="general" vertical="bottom"/>
    </xf>
    <xf numFmtId="4" fontId="21" fillId="14" borderId="28" applyAlignment="1" pivotButton="0" quotePrefix="0" xfId="0">
      <alignment horizontal="general" vertical="bottom"/>
    </xf>
    <xf numFmtId="172" fontId="20" fillId="0" borderId="28" applyAlignment="1" pivotButton="0" quotePrefix="0" xfId="0">
      <alignment horizontal="general" vertical="bottom"/>
    </xf>
    <xf numFmtId="2" fontId="20" fillId="4" borderId="28" applyAlignment="1" pivotButton="0" quotePrefix="0" xfId="0">
      <alignment horizontal="general" vertical="bottom"/>
    </xf>
    <xf numFmtId="172" fontId="10" fillId="16" borderId="28" applyAlignment="1" pivotButton="0" quotePrefix="0" xfId="0">
      <alignment horizontal="general" vertical="bottom"/>
    </xf>
    <xf numFmtId="170" fontId="10" fillId="16" borderId="28" applyAlignment="1" pivotButton="0" quotePrefix="0" xfId="0">
      <alignment horizontal="general" vertical="bottom"/>
    </xf>
    <xf numFmtId="169" fontId="10" fillId="19" borderId="28" applyAlignment="1" pivotButton="0" quotePrefix="0" xfId="0">
      <alignment horizontal="general" vertical="bottom"/>
    </xf>
    <xf numFmtId="2" fontId="10" fillId="16" borderId="28" applyAlignment="1" pivotButton="0" quotePrefix="0" xfId="0">
      <alignment horizontal="general" vertical="bottom"/>
    </xf>
    <xf numFmtId="173" fontId="21" fillId="14" borderId="28" applyAlignment="1" pivotButton="0" quotePrefix="0" xfId="0">
      <alignment horizontal="general" vertical="bottom"/>
    </xf>
    <xf numFmtId="10" fontId="10" fillId="19" borderId="28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15" borderId="0" applyAlignment="1" pivotButton="0" quotePrefix="0" xfId="0">
      <alignment horizontal="general" vertical="bottom"/>
    </xf>
    <xf numFmtId="0" fontId="26" fillId="12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69" fontId="28" fillId="0" borderId="28" applyAlignment="1" pivotButton="0" quotePrefix="0" xfId="0">
      <alignment horizontal="general" vertical="bottom"/>
    </xf>
    <xf numFmtId="170" fontId="28" fillId="0" borderId="28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69" fontId="30" fillId="16" borderId="28" applyAlignment="1" pivotButton="0" quotePrefix="0" xfId="0">
      <alignment horizontal="general" vertical="bottom"/>
    </xf>
    <xf numFmtId="10" fontId="30" fillId="16" borderId="28" applyAlignment="1" pivotButton="0" quotePrefix="0" xfId="0">
      <alignment horizontal="general" vertical="bottom"/>
    </xf>
    <xf numFmtId="1" fontId="21" fillId="14" borderId="28" applyAlignment="1" pivotButton="0" quotePrefix="0" xfId="0">
      <alignment horizontal="general" vertical="bottom"/>
    </xf>
    <xf numFmtId="174" fontId="28" fillId="0" borderId="28" applyAlignment="1" pivotButton="0" quotePrefix="0" xfId="0">
      <alignment horizontal="general" vertical="bottom"/>
    </xf>
    <xf numFmtId="169" fontId="30" fillId="17" borderId="28" applyAlignment="1" pivotButton="0" quotePrefix="0" xfId="0">
      <alignment horizontal="general" vertical="bottom"/>
    </xf>
    <xf numFmtId="2" fontId="28" fillId="0" borderId="28" applyAlignment="1" pivotButton="0" quotePrefix="0" xfId="0">
      <alignment horizontal="general" vertical="bottom"/>
    </xf>
    <xf numFmtId="10" fontId="30" fillId="17" borderId="28" applyAlignment="1" pivotButton="0" quotePrefix="0" xfId="0">
      <alignment horizontal="general" vertical="bottom"/>
    </xf>
    <xf numFmtId="2" fontId="31" fillId="14" borderId="28" applyAlignment="1" pivotButton="0" quotePrefix="0" xfId="0">
      <alignment horizontal="general" vertical="bottom"/>
    </xf>
    <xf numFmtId="169" fontId="28" fillId="4" borderId="28" applyAlignment="1" pivotButton="0" quotePrefix="0" xfId="0">
      <alignment horizontal="general" vertical="bottom"/>
    </xf>
    <xf numFmtId="2" fontId="28" fillId="4" borderId="28" applyAlignment="1" pivotButton="0" quotePrefix="0" xfId="0">
      <alignment horizontal="general" vertical="bottom"/>
    </xf>
    <xf numFmtId="170" fontId="28" fillId="4" borderId="28" applyAlignment="1" pivotButton="0" quotePrefix="0" xfId="0">
      <alignment horizontal="general" vertical="bottom"/>
    </xf>
    <xf numFmtId="2" fontId="30" fillId="19" borderId="28" applyAlignment="1" pivotButton="0" quotePrefix="0" xfId="0">
      <alignment horizontal="general" vertical="bottom"/>
    </xf>
    <xf numFmtId="169" fontId="30" fillId="19" borderId="28" applyAlignment="1" pivotButton="0" quotePrefix="0" xfId="0">
      <alignment horizontal="general" vertical="bottom"/>
    </xf>
    <xf numFmtId="0" fontId="30" fillId="0" borderId="28" applyAlignment="1" pivotButton="0" quotePrefix="0" xfId="0">
      <alignment horizontal="general" vertical="bottom"/>
    </xf>
    <xf numFmtId="169" fontId="31" fillId="14" borderId="28" applyAlignment="1" pivotButton="0" quotePrefix="0" xfId="0">
      <alignment horizontal="general" vertical="bottom"/>
    </xf>
    <xf numFmtId="10" fontId="31" fillId="14" borderId="28" applyAlignment="1" pivotButton="0" quotePrefix="0" xfId="0">
      <alignment horizontal="general" vertical="bottom"/>
    </xf>
    <xf numFmtId="1" fontId="31" fillId="14" borderId="28" applyAlignment="1" pivotButton="0" quotePrefix="0" xfId="0">
      <alignment horizontal="general" vertical="bottom"/>
    </xf>
    <xf numFmtId="0" fontId="31" fillId="14" borderId="28" applyAlignment="1" pivotButton="0" quotePrefix="0" xfId="0">
      <alignment horizontal="general" vertical="bottom"/>
    </xf>
    <xf numFmtId="172" fontId="31" fillId="14" borderId="28" applyAlignment="1" pivotButton="0" quotePrefix="0" xfId="0">
      <alignment horizontal="general" vertical="bottom"/>
    </xf>
    <xf numFmtId="169" fontId="30" fillId="18" borderId="28" applyAlignment="1" pivotButton="0" quotePrefix="0" xfId="0">
      <alignment horizontal="general" vertical="bottom"/>
    </xf>
    <xf numFmtId="4" fontId="31" fillId="14" borderId="28" applyAlignment="1" pivotButton="0" quotePrefix="0" xfId="0">
      <alignment horizontal="general" vertical="bottom"/>
    </xf>
    <xf numFmtId="171" fontId="31" fillId="14" borderId="28" applyAlignment="1" pivotButton="0" quotePrefix="0" xfId="0">
      <alignment horizontal="general" vertical="bottom"/>
    </xf>
    <xf numFmtId="171" fontId="28" fillId="0" borderId="28" applyAlignment="1" pivotButton="0" quotePrefix="0" xfId="0">
      <alignment horizontal="general" vertical="bottom"/>
    </xf>
    <xf numFmtId="172" fontId="28" fillId="0" borderId="28" applyAlignment="1" pivotButton="0" quotePrefix="0" xfId="0">
      <alignment horizontal="general" vertical="bottom"/>
    </xf>
    <xf numFmtId="172" fontId="30" fillId="16" borderId="28" applyAlignment="1" pivotButton="0" quotePrefix="0" xfId="0">
      <alignment horizontal="general" vertical="bottom"/>
    </xf>
    <xf numFmtId="170" fontId="30" fillId="16" borderId="28" applyAlignment="1" pivotButton="0" quotePrefix="0" xfId="0">
      <alignment horizontal="general" vertical="bottom"/>
    </xf>
    <xf numFmtId="175" fontId="24" fillId="0" borderId="0" applyAlignment="1" pivotButton="0" quotePrefix="0" xfId="0">
      <alignment horizontal="general" vertical="bottom"/>
    </xf>
    <xf numFmtId="2" fontId="30" fillId="16" borderId="28" applyAlignment="1" pivotButton="0" quotePrefix="0" xfId="0">
      <alignment horizontal="general" vertical="bottom"/>
    </xf>
    <xf numFmtId="0" fontId="32" fillId="9" borderId="28" applyAlignment="1" pivotButton="0" quotePrefix="0" xfId="0">
      <alignment horizontal="center" vertical="center" wrapText="1"/>
    </xf>
    <xf numFmtId="173" fontId="31" fillId="14" borderId="28" applyAlignment="1" pivotButton="0" quotePrefix="0" xfId="0">
      <alignment horizontal="general" vertical="bottom"/>
    </xf>
    <xf numFmtId="10" fontId="30" fillId="19" borderId="28" applyAlignment="1" pivotButton="0" quotePrefix="0" xfId="0">
      <alignment horizontal="general" vertical="bottom"/>
    </xf>
    <xf numFmtId="176" fontId="31" fillId="14" borderId="28" applyAlignment="1" pivotButton="0" quotePrefix="0" xfId="0">
      <alignment horizontal="general" vertical="bottom"/>
    </xf>
    <xf numFmtId="177" fontId="30" fillId="16" borderId="28" applyAlignment="1" pivotButton="0" quotePrefix="0" xfId="0">
      <alignment horizontal="general" vertical="bottom"/>
    </xf>
    <xf numFmtId="176" fontId="30" fillId="16" borderId="28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176" fontId="33" fillId="16" borderId="28" applyAlignment="1" pivotButton="0" quotePrefix="0" xfId="0">
      <alignment horizontal="general" vertical="bottom"/>
    </xf>
    <xf numFmtId="177" fontId="31" fillId="14" borderId="28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DDEBF7"/>
      <rgbColor rgb="FF660066"/>
      <rgbColor rgb="FFD9E1F2"/>
      <rgbColor rgb="FF0066CC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F2CC"/>
      <rgbColor rgb="FF9DC3E6"/>
      <rgbColor rgb="FFFCE4D6"/>
      <rgbColor rgb="FFDBDBDB"/>
      <rgbColor rgb="FFFFC7CE"/>
      <rgbColor rgb="FF2E75B6"/>
      <rgbColor rgb="FF33CCCC"/>
      <rgbColor rgb="FFDAE3F3"/>
      <rgbColor rgb="FFFBE5D6"/>
      <rgbColor rgb="FFF2F2F2"/>
      <rgbColor rgb="FFFF6600"/>
      <rgbColor rgb="FF666699"/>
      <rgbColor rgb="FFB7B7B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4:AC63"/>
  <sheetViews>
    <sheetView showFormulas="0" showGridLines="1" showRowColHeaders="1" showZeros="1" rightToLeft="0" tabSelected="0" showOutlineSymbols="1" defaultGridColor="1" view="normal" topLeftCell="A19" colorId="64" zoomScale="100" zoomScaleNormal="100" zoomScalePageLayoutView="100" workbookViewId="0">
      <selection pane="topLeft" activeCell="U33" activeCellId="0" sqref="U33"/>
    </sheetView>
  </sheetViews>
  <sheetFormatPr baseColWidth="8" defaultColWidth="9.1484375" defaultRowHeight="15" zeroHeight="0" outlineLevelRow="0"/>
  <cols>
    <col width="7" customWidth="1" style="187" min="1" max="1"/>
    <col width="5" customWidth="1" style="187" min="2" max="2"/>
    <col width="19.71" customWidth="1" style="187" min="4" max="4"/>
    <col width="9.42" customWidth="1" style="187" min="5" max="5"/>
    <col width="8.859999999999999" customWidth="1" style="187" min="6" max="6"/>
    <col width="9.42" customWidth="1" style="187" min="7" max="7"/>
    <col width="4" customWidth="1" style="187" min="10" max="10"/>
    <col width="9.42" customWidth="1" style="187" min="11" max="11"/>
    <col width="9.42" customWidth="1" style="187" min="13" max="13"/>
    <col width="4.29" customWidth="1" style="187" min="14" max="14"/>
    <col width="10.14" customWidth="1" style="187" min="15" max="15"/>
    <col width="4" customWidth="1" style="187" min="16" max="16"/>
    <col width="9.42" customWidth="1" style="187" min="17" max="17"/>
    <col width="5.71" customWidth="1" style="187" min="18" max="18"/>
    <col width="9.42" customWidth="1" style="187" min="19" max="19"/>
    <col width="10.85" customWidth="1" style="187" min="21" max="21"/>
    <col width="10.14" customWidth="1" style="187" min="27" max="27"/>
  </cols>
  <sheetData>
    <row r="4" ht="15" customHeight="1" s="188">
      <c r="K4" s="187">
        <f>S12+S17+S19+S24+S28+S29+S25+A182</f>
        <v/>
      </c>
    </row>
    <row r="5" ht="15" customHeight="1" s="188">
      <c r="A5" s="187" t="inlineStr">
        <is>
          <t>Salaire</t>
        </is>
      </c>
      <c r="B5" s="187" t="n">
        <v>3100</v>
      </c>
    </row>
    <row r="6" ht="15" customHeight="1" s="188">
      <c r="E6" s="189" t="inlineStr">
        <is>
          <t>Janvier</t>
        </is>
      </c>
      <c r="G6" s="189" t="inlineStr">
        <is>
          <t>Février</t>
        </is>
      </c>
      <c r="I6" s="189" t="inlineStr">
        <is>
          <t>Mars</t>
        </is>
      </c>
      <c r="K6" s="189" t="inlineStr">
        <is>
          <t>Avril</t>
        </is>
      </c>
      <c r="M6" s="189" t="inlineStr">
        <is>
          <t>Mai</t>
        </is>
      </c>
      <c r="O6" s="189" t="inlineStr">
        <is>
          <t>Juin</t>
        </is>
      </c>
      <c r="Q6" s="189" t="inlineStr">
        <is>
          <t>Juillet</t>
        </is>
      </c>
      <c r="S6" s="189" t="inlineStr">
        <is>
          <t>Aout</t>
        </is>
      </c>
      <c r="U6" s="189" t="inlineStr">
        <is>
          <t>Septembre</t>
        </is>
      </c>
      <c r="W6" s="189" t="inlineStr">
        <is>
          <t>Octobre</t>
        </is>
      </c>
      <c r="Y6" s="189" t="inlineStr">
        <is>
          <t>Novembre</t>
        </is>
      </c>
      <c r="AA6" s="189" t="inlineStr">
        <is>
          <t>Décembre</t>
        </is>
      </c>
    </row>
    <row r="8" ht="15" customHeight="1" s="188">
      <c r="A8" s="187" t="n">
        <v>2</v>
      </c>
      <c r="B8" s="190" t="inlineStr">
        <is>
          <t>APPARTS</t>
        </is>
      </c>
      <c r="C8" s="191" t="inlineStr">
        <is>
          <t>Date jour</t>
        </is>
      </c>
      <c r="D8" s="192" t="inlineStr">
        <is>
          <t>Prêt App1</t>
        </is>
      </c>
      <c r="E8" s="193" t="n">
        <v>248</v>
      </c>
      <c r="G8" s="193" t="n">
        <v>248</v>
      </c>
      <c r="I8" s="193" t="n">
        <v>248</v>
      </c>
      <c r="K8" s="193" t="n">
        <v>248</v>
      </c>
      <c r="M8" s="193" t="n">
        <v>248</v>
      </c>
      <c r="O8" s="193" t="n">
        <v>248</v>
      </c>
      <c r="Q8" s="193" t="n">
        <v>248</v>
      </c>
      <c r="S8" s="193" t="n">
        <v>248</v>
      </c>
      <c r="U8" s="193" t="n">
        <v>248</v>
      </c>
      <c r="W8" s="193" t="n">
        <v>248</v>
      </c>
      <c r="Y8" s="193" t="n">
        <v>248</v>
      </c>
      <c r="AA8" s="193" t="n">
        <v>248</v>
      </c>
    </row>
    <row r="9" ht="15" customHeight="1" s="188">
      <c r="A9" s="187" t="n">
        <v>2</v>
      </c>
      <c r="B9" s="194" t="n"/>
      <c r="C9" s="191" t="n"/>
      <c r="D9" s="192" t="inlineStr">
        <is>
          <t>Charge App1</t>
        </is>
      </c>
      <c r="E9" s="195" t="n">
        <v>0</v>
      </c>
      <c r="G9" s="195" t="n">
        <v>0</v>
      </c>
      <c r="I9" s="195" t="n">
        <v>176</v>
      </c>
      <c r="K9" s="195" t="n">
        <v>0</v>
      </c>
      <c r="M9" s="195" t="n">
        <v>0</v>
      </c>
      <c r="O9" s="195" t="n">
        <v>357</v>
      </c>
      <c r="Q9" s="195" t="n">
        <v>0</v>
      </c>
      <c r="S9" s="195" t="n">
        <v>0</v>
      </c>
      <c r="U9" s="195" t="n">
        <v>0</v>
      </c>
      <c r="W9" s="195" t="n">
        <v>0</v>
      </c>
      <c r="Y9" s="195" t="n">
        <v>0</v>
      </c>
      <c r="AA9" s="195" t="n">
        <v>0</v>
      </c>
    </row>
    <row r="10" ht="15" customHeight="1" s="188">
      <c r="A10" s="187" t="n">
        <v>2</v>
      </c>
      <c r="B10" s="194" t="n"/>
      <c r="C10" s="191" t="n">
        <v>16</v>
      </c>
      <c r="D10" s="192" t="inlineStr">
        <is>
          <t xml:space="preserve">Taxe Fonc App1 </t>
        </is>
      </c>
      <c r="E10" s="193" t="n">
        <v>78</v>
      </c>
      <c r="G10" s="193" t="n">
        <v>78</v>
      </c>
      <c r="I10" s="193" t="n">
        <v>78</v>
      </c>
      <c r="K10" s="193" t="n">
        <v>78</v>
      </c>
      <c r="M10" s="193" t="n">
        <v>78</v>
      </c>
      <c r="O10" s="193" t="n">
        <v>78</v>
      </c>
      <c r="Q10" s="193" t="n">
        <v>78</v>
      </c>
      <c r="S10" s="193" t="n">
        <v>78</v>
      </c>
      <c r="U10" s="193" t="n">
        <v>78</v>
      </c>
      <c r="W10" s="193" t="n">
        <v>78</v>
      </c>
      <c r="Y10" s="193" t="n">
        <v>78</v>
      </c>
      <c r="AA10" s="193" t="n">
        <v>0</v>
      </c>
    </row>
    <row r="11" ht="15" customHeight="1" s="188">
      <c r="B11" s="194" t="n"/>
    </row>
    <row r="12" ht="15" customHeight="1" s="188">
      <c r="A12" s="187" t="n">
        <v>1</v>
      </c>
      <c r="B12" s="194" t="n"/>
      <c r="C12" s="191" t="n">
        <v>6</v>
      </c>
      <c r="D12" s="196" t="inlineStr">
        <is>
          <t>Prêt App2</t>
        </is>
      </c>
      <c r="E12" s="197" t="n">
        <v>366</v>
      </c>
      <c r="G12" s="197" t="n">
        <v>366</v>
      </c>
      <c r="I12" s="197" t="n">
        <v>366</v>
      </c>
      <c r="K12" s="197" t="n">
        <v>366</v>
      </c>
      <c r="M12" s="197" t="n">
        <v>366</v>
      </c>
      <c r="O12" s="197" t="n">
        <v>366</v>
      </c>
      <c r="Q12" s="197" t="n">
        <v>366</v>
      </c>
      <c r="S12" s="197" t="n">
        <v>366</v>
      </c>
      <c r="U12" s="197" t="n">
        <v>366</v>
      </c>
      <c r="W12" s="197" t="n">
        <v>366</v>
      </c>
      <c r="Y12" s="197" t="n">
        <v>366</v>
      </c>
      <c r="AA12" s="197" t="n">
        <v>366</v>
      </c>
    </row>
    <row r="13" ht="15" customHeight="1" s="188">
      <c r="A13" s="187" t="n">
        <v>1</v>
      </c>
      <c r="B13" s="194" t="n"/>
      <c r="C13" s="191" t="n"/>
      <c r="D13" s="196" t="inlineStr">
        <is>
          <t>Assurance</t>
        </is>
      </c>
      <c r="E13" s="197" t="n">
        <v>0</v>
      </c>
      <c r="G13" s="197" t="n">
        <v>0</v>
      </c>
      <c r="I13" s="197" t="n">
        <v>30</v>
      </c>
      <c r="K13" s="197" t="n">
        <v>0</v>
      </c>
      <c r="M13" s="197" t="n">
        <v>0</v>
      </c>
      <c r="O13" s="197" t="n">
        <v>29</v>
      </c>
      <c r="Q13" s="197" t="n">
        <v>0</v>
      </c>
      <c r="S13" s="197" t="n">
        <v>0</v>
      </c>
      <c r="U13" s="197" t="n">
        <v>29</v>
      </c>
      <c r="W13" s="197" t="n">
        <v>0</v>
      </c>
      <c r="Y13" s="197" t="n">
        <v>0</v>
      </c>
      <c r="AA13" s="197" t="n">
        <v>29</v>
      </c>
    </row>
    <row r="14" ht="15" customHeight="1" s="188">
      <c r="A14" s="187" t="n">
        <v>2</v>
      </c>
      <c r="B14" s="194" t="n"/>
      <c r="C14" s="191" t="n"/>
      <c r="D14" s="196" t="inlineStr">
        <is>
          <t>Charge App2</t>
        </is>
      </c>
      <c r="E14" s="198" t="n">
        <v>0</v>
      </c>
      <c r="G14" s="198" t="n">
        <v>0</v>
      </c>
      <c r="I14" s="198" t="n">
        <v>256</v>
      </c>
      <c r="K14" s="198" t="n">
        <v>0</v>
      </c>
      <c r="M14" s="198" t="n">
        <v>0</v>
      </c>
      <c r="O14" s="198" t="n">
        <v>235</v>
      </c>
      <c r="Q14" s="198" t="n">
        <v>0</v>
      </c>
      <c r="S14" s="198" t="n">
        <v>0</v>
      </c>
      <c r="U14" s="198" t="n">
        <v>0</v>
      </c>
      <c r="W14" s="198" t="n">
        <v>0</v>
      </c>
      <c r="Y14" s="198" t="n">
        <v>0</v>
      </c>
      <c r="AA14" s="198" t="n">
        <v>0</v>
      </c>
    </row>
    <row r="15" ht="15" customHeight="1" s="188">
      <c r="A15" s="187" t="n">
        <v>2</v>
      </c>
      <c r="B15" s="194" t="n"/>
      <c r="C15" s="191" t="n"/>
      <c r="D15" s="196" t="inlineStr">
        <is>
          <t>Taxe Fonc App2</t>
        </is>
      </c>
      <c r="E15" s="197" t="n">
        <v>96</v>
      </c>
      <c r="G15" s="197" t="n">
        <v>96</v>
      </c>
      <c r="I15" s="197" t="n">
        <v>96</v>
      </c>
      <c r="K15" s="197" t="n">
        <v>96</v>
      </c>
      <c r="M15" s="197" t="n">
        <v>96</v>
      </c>
      <c r="O15" s="197" t="n">
        <v>96</v>
      </c>
      <c r="Q15" s="197" t="n">
        <v>96</v>
      </c>
      <c r="S15" s="197" t="n">
        <v>96</v>
      </c>
      <c r="U15" s="197" t="n">
        <v>96</v>
      </c>
      <c r="W15" s="197" t="n">
        <v>96</v>
      </c>
      <c r="Y15" s="197" t="n">
        <v>96</v>
      </c>
      <c r="AA15" s="197" t="n">
        <v>0</v>
      </c>
    </row>
    <row r="16" ht="15" customHeight="1" s="188">
      <c r="B16" s="194" t="n"/>
      <c r="AC16" s="199" t="n"/>
    </row>
    <row r="17" ht="15" customHeight="1" s="188">
      <c r="A17" s="187" t="n">
        <v>1</v>
      </c>
      <c r="B17" s="194" t="n"/>
      <c r="C17" s="187" t="n">
        <v>3</v>
      </c>
      <c r="D17" s="197" t="inlineStr">
        <is>
          <t>Loyé  App3</t>
        </is>
      </c>
      <c r="E17" s="197" t="n"/>
      <c r="G17" s="200" t="n"/>
      <c r="I17" s="200" t="n"/>
      <c r="K17" s="200" t="n"/>
      <c r="M17" s="200" t="n">
        <v>296</v>
      </c>
      <c r="O17" s="197" t="n">
        <v>40</v>
      </c>
      <c r="Q17" s="197" t="n">
        <v>0</v>
      </c>
      <c r="S17" s="197" t="n">
        <v>609</v>
      </c>
      <c r="U17" s="197" t="n">
        <v>609</v>
      </c>
      <c r="W17" s="197" t="n">
        <v>609</v>
      </c>
      <c r="Y17" s="197" t="n">
        <v>609</v>
      </c>
      <c r="AA17" s="197" t="n">
        <v>609</v>
      </c>
    </row>
    <row r="18" ht="15" customHeight="1" s="188">
      <c r="A18" s="187" t="n">
        <v>2</v>
      </c>
      <c r="B18" s="194" t="n"/>
      <c r="D18" s="197" t="inlineStr">
        <is>
          <t>Electricité</t>
        </is>
      </c>
      <c r="E18" s="197" t="n"/>
      <c r="G18" s="200" t="n"/>
      <c r="I18" s="200" t="n"/>
      <c r="K18" s="200" t="n"/>
      <c r="M18" s="200" t="n"/>
      <c r="O18" s="197" t="n">
        <v>0</v>
      </c>
      <c r="Q18" s="197" t="n">
        <v>60</v>
      </c>
      <c r="S18" s="197" t="n">
        <v>60</v>
      </c>
      <c r="U18" s="197" t="n">
        <v>50</v>
      </c>
      <c r="W18" s="197" t="n">
        <v>50</v>
      </c>
      <c r="Y18" s="197" t="n">
        <v>50</v>
      </c>
      <c r="AA18" s="197" t="n">
        <v>50</v>
      </c>
    </row>
    <row r="19" ht="15" customHeight="1" s="188">
      <c r="A19" s="187" t="n">
        <v>2</v>
      </c>
      <c r="B19" s="194" t="n"/>
      <c r="D19" s="197" t="inlineStr">
        <is>
          <t>Box</t>
        </is>
      </c>
      <c r="E19" s="197" t="n"/>
      <c r="G19" s="200" t="n"/>
      <c r="I19" s="200" t="n"/>
      <c r="K19" s="200" t="n"/>
      <c r="M19" s="200" t="n"/>
      <c r="O19" s="197" t="n">
        <v>0</v>
      </c>
      <c r="Q19" s="197" t="n">
        <v>78</v>
      </c>
      <c r="S19" s="197" t="n">
        <v>25</v>
      </c>
      <c r="U19" s="197" t="n">
        <v>25</v>
      </c>
      <c r="W19" s="197" t="n">
        <v>25</v>
      </c>
      <c r="Y19" s="197" t="n">
        <v>25</v>
      </c>
      <c r="AA19" s="197" t="n">
        <v>25</v>
      </c>
    </row>
    <row r="20" ht="15" customHeight="1" s="188">
      <c r="A20" s="187" t="n">
        <v>2</v>
      </c>
      <c r="B20" s="194" t="n"/>
      <c r="D20" s="197" t="inlineStr">
        <is>
          <t>Assurance</t>
        </is>
      </c>
      <c r="E20" s="197" t="n"/>
      <c r="G20" s="200" t="n"/>
      <c r="I20" s="200" t="n"/>
      <c r="K20" s="200" t="n"/>
      <c r="M20" s="200" t="n"/>
      <c r="O20" s="197" t="n">
        <v>0</v>
      </c>
      <c r="Q20" s="197" t="n">
        <v>180</v>
      </c>
      <c r="S20" s="197" t="n">
        <v>0</v>
      </c>
      <c r="U20" s="197" t="n">
        <v>0</v>
      </c>
      <c r="W20" s="197" t="n">
        <v>0</v>
      </c>
      <c r="Y20" s="197" t="n">
        <v>0</v>
      </c>
      <c r="AA20" s="197" t="n">
        <v>0</v>
      </c>
    </row>
    <row r="21" ht="15" customHeight="1" s="188">
      <c r="A21" s="187" t="n">
        <v>2</v>
      </c>
      <c r="B21" s="201" t="n"/>
      <c r="D21" s="197" t="inlineStr">
        <is>
          <t>Taxe habitation</t>
        </is>
      </c>
      <c r="E21" s="197" t="n"/>
      <c r="G21" s="200" t="n"/>
      <c r="I21" s="200" t="n"/>
      <c r="K21" s="200" t="n"/>
      <c r="M21" s="200" t="n"/>
      <c r="O21" s="197" t="n">
        <v>0</v>
      </c>
      <c r="Q21" s="197" t="n">
        <v>0</v>
      </c>
      <c r="S21" s="197" t="n">
        <v>0</v>
      </c>
      <c r="U21" s="197" t="n">
        <v>0</v>
      </c>
      <c r="W21" s="197" t="n">
        <v>0</v>
      </c>
      <c r="Y21" s="197" t="n">
        <v>0</v>
      </c>
      <c r="AA21" s="197" t="n">
        <v>0</v>
      </c>
    </row>
    <row r="23" ht="15" customHeight="1" s="188">
      <c r="A23" s="187" t="n">
        <v>2</v>
      </c>
      <c r="B23" s="202" t="inlineStr">
        <is>
          <t>CHARGES</t>
        </is>
      </c>
      <c r="C23" s="203" t="n">
        <v>24</v>
      </c>
      <c r="D23" s="204" t="inlineStr">
        <is>
          <t>Electricité-Gaz</t>
        </is>
      </c>
      <c r="E23" s="204" t="n">
        <v>196</v>
      </c>
      <c r="G23" s="204" t="n">
        <v>232</v>
      </c>
      <c r="I23" s="204" t="n">
        <v>171</v>
      </c>
      <c r="K23" s="204" t="n">
        <v>165</v>
      </c>
      <c r="M23" s="204" t="n">
        <v>150</v>
      </c>
      <c r="O23" s="204" t="n">
        <v>105</v>
      </c>
      <c r="Q23" s="204" t="n">
        <v>76</v>
      </c>
      <c r="S23" s="204" t="n">
        <v>85</v>
      </c>
      <c r="U23" s="204" t="n">
        <v>85</v>
      </c>
      <c r="W23" s="204" t="n">
        <v>105</v>
      </c>
      <c r="Y23" s="204" t="n">
        <v>85</v>
      </c>
      <c r="AA23" s="204" t="n">
        <v>85</v>
      </c>
    </row>
    <row r="24" ht="15" customHeight="1" s="188">
      <c r="A24" s="187" t="n">
        <v>1</v>
      </c>
      <c r="B24" s="194" t="n"/>
      <c r="C24" s="203" t="n">
        <v>8</v>
      </c>
      <c r="D24" s="204" t="inlineStr">
        <is>
          <t>SNCF</t>
        </is>
      </c>
      <c r="E24" s="204" t="n">
        <v>141</v>
      </c>
      <c r="G24" s="204" t="n">
        <v>141</v>
      </c>
      <c r="I24" s="204" t="n">
        <v>141</v>
      </c>
      <c r="K24" s="204" t="n">
        <v>141</v>
      </c>
      <c r="M24" s="204" t="n">
        <v>141</v>
      </c>
      <c r="O24" s="204" t="n">
        <v>91</v>
      </c>
      <c r="Q24" s="204" t="n">
        <v>91</v>
      </c>
      <c r="S24" s="204" t="n">
        <v>91</v>
      </c>
      <c r="U24" s="204" t="n">
        <v>91</v>
      </c>
      <c r="W24" s="204" t="n">
        <v>91</v>
      </c>
      <c r="Y24" s="204" t="n">
        <v>91</v>
      </c>
      <c r="AA24" s="204" t="n">
        <v>91</v>
      </c>
    </row>
    <row r="25" ht="15" customHeight="1" s="188">
      <c r="A25" s="187" t="n">
        <v>1</v>
      </c>
      <c r="B25" s="194" t="n"/>
      <c r="C25" s="203" t="n">
        <v>10</v>
      </c>
      <c r="D25" s="204" t="inlineStr">
        <is>
          <t>Mutuelle</t>
        </is>
      </c>
      <c r="E25" s="204" t="n">
        <v>45</v>
      </c>
      <c r="G25" s="204" t="n">
        <v>100</v>
      </c>
      <c r="I25" s="204" t="n">
        <v>100</v>
      </c>
      <c r="K25" s="204" t="n">
        <v>100</v>
      </c>
      <c r="M25" s="204" t="n">
        <v>25</v>
      </c>
      <c r="O25" s="204" t="n">
        <v>105</v>
      </c>
      <c r="Q25" s="204" t="n">
        <v>105</v>
      </c>
      <c r="S25" s="204" t="n">
        <v>105</v>
      </c>
      <c r="U25" s="204" t="n">
        <v>105</v>
      </c>
      <c r="W25" s="204" t="n">
        <v>105</v>
      </c>
      <c r="Y25" s="204" t="n">
        <v>105</v>
      </c>
      <c r="AA25" s="204" t="n">
        <v>105</v>
      </c>
    </row>
    <row r="26" ht="15" customHeight="1" s="188">
      <c r="A26" s="187" t="n">
        <v>1</v>
      </c>
      <c r="B26" s="194" t="n"/>
      <c r="C26" s="203" t="n">
        <v>5</v>
      </c>
      <c r="D26" s="204" t="inlineStr">
        <is>
          <t>Syndicat</t>
        </is>
      </c>
      <c r="E26" s="204" t="n">
        <v>17</v>
      </c>
      <c r="G26" s="204" t="n">
        <v>17</v>
      </c>
      <c r="I26" s="204" t="n">
        <v>17</v>
      </c>
      <c r="K26" s="204" t="n">
        <v>17</v>
      </c>
      <c r="M26" s="204" t="n">
        <v>0</v>
      </c>
      <c r="O26" s="204" t="n">
        <v>0</v>
      </c>
      <c r="Q26" s="204" t="n">
        <v>0</v>
      </c>
      <c r="S26" s="204" t="n">
        <v>0</v>
      </c>
      <c r="U26" s="204" t="n">
        <v>0</v>
      </c>
      <c r="W26" s="204" t="n">
        <v>0</v>
      </c>
      <c r="Y26" s="204" t="n">
        <v>0</v>
      </c>
      <c r="AA26" s="204" t="n">
        <v>0</v>
      </c>
    </row>
    <row r="27" ht="15" customHeight="1" s="188">
      <c r="A27" s="187" t="n">
        <v>2</v>
      </c>
      <c r="B27" s="194" t="n"/>
      <c r="C27" s="203" t="n">
        <v>18</v>
      </c>
      <c r="D27" s="204" t="inlineStr">
        <is>
          <t>Banque</t>
        </is>
      </c>
      <c r="E27" s="204" t="n">
        <v>15</v>
      </c>
      <c r="G27" s="204" t="n">
        <v>15</v>
      </c>
      <c r="I27" s="204">
        <f>G27</f>
        <v/>
      </c>
      <c r="K27" s="204">
        <f>I27</f>
        <v/>
      </c>
      <c r="M27" s="204">
        <f>K27</f>
        <v/>
      </c>
      <c r="O27" s="204">
        <f>M27</f>
        <v/>
      </c>
      <c r="Q27" s="204">
        <f>O27</f>
        <v/>
      </c>
      <c r="S27" s="204">
        <f>Q27</f>
        <v/>
      </c>
      <c r="U27" s="204">
        <f>S27</f>
        <v/>
      </c>
      <c r="W27" s="204">
        <f>U27</f>
        <v/>
      </c>
      <c r="Y27" s="204">
        <f>W27</f>
        <v/>
      </c>
      <c r="AA27" s="204">
        <f>Y27</f>
        <v/>
      </c>
    </row>
    <row r="28" ht="15" customHeight="1" s="188">
      <c r="A28" s="187" t="n">
        <v>1</v>
      </c>
      <c r="B28" s="194" t="n"/>
      <c r="C28" s="203" t="n">
        <v>22</v>
      </c>
      <c r="D28" s="204" t="inlineStr">
        <is>
          <t>Box</t>
        </is>
      </c>
      <c r="E28" s="204" t="n">
        <v>24</v>
      </c>
      <c r="G28" s="204" t="n">
        <v>24</v>
      </c>
      <c r="I28" s="204">
        <f>G28</f>
        <v/>
      </c>
      <c r="K28" s="204">
        <f>I28</f>
        <v/>
      </c>
      <c r="M28" s="204">
        <f>K28</f>
        <v/>
      </c>
      <c r="O28" s="204">
        <f>M28</f>
        <v/>
      </c>
      <c r="Q28" s="204">
        <f>O28</f>
        <v/>
      </c>
      <c r="S28" s="204">
        <f>Q28</f>
        <v/>
      </c>
      <c r="U28" s="204">
        <f>S28</f>
        <v/>
      </c>
      <c r="W28" s="204">
        <f>U28</f>
        <v/>
      </c>
      <c r="Y28" s="204">
        <f>W28</f>
        <v/>
      </c>
      <c r="AA28" s="204">
        <f>Y28</f>
        <v/>
      </c>
    </row>
    <row r="29" ht="15" customHeight="1" s="188">
      <c r="A29" s="187" t="n">
        <v>1</v>
      </c>
      <c r="B29" s="201" t="n"/>
      <c r="C29" s="203" t="n">
        <v>17</v>
      </c>
      <c r="D29" s="204" t="inlineStr">
        <is>
          <t>tél portable</t>
        </is>
      </c>
      <c r="E29" s="204" t="n">
        <v>8</v>
      </c>
      <c r="G29" s="204" t="n">
        <v>8</v>
      </c>
      <c r="I29" s="204">
        <f>G29</f>
        <v/>
      </c>
      <c r="K29" s="204">
        <f>I29</f>
        <v/>
      </c>
      <c r="M29" s="204">
        <f>K29</f>
        <v/>
      </c>
      <c r="O29" s="204">
        <f>M29</f>
        <v/>
      </c>
      <c r="Q29" s="204">
        <f>O29</f>
        <v/>
      </c>
      <c r="S29" s="204">
        <f>Q29</f>
        <v/>
      </c>
      <c r="U29" s="204">
        <f>S29</f>
        <v/>
      </c>
      <c r="W29" s="204">
        <f>U29</f>
        <v/>
      </c>
      <c r="Y29" s="204">
        <f>W29</f>
        <v/>
      </c>
      <c r="AA29" s="204">
        <f>Y29</f>
        <v/>
      </c>
    </row>
    <row r="31" ht="15" customHeight="1" s="188">
      <c r="A31" s="187" t="n">
        <v>2</v>
      </c>
      <c r="B31" s="205" t="inlineStr">
        <is>
          <t>EPARGNE</t>
        </is>
      </c>
      <c r="C31" s="206" t="n"/>
      <c r="D31" s="207" t="inlineStr">
        <is>
          <t>Epargne Livret A</t>
        </is>
      </c>
      <c r="E31" s="207" t="n">
        <v>0</v>
      </c>
      <c r="G31" s="207" t="n">
        <v>0</v>
      </c>
      <c r="I31" s="207" t="n">
        <v>0</v>
      </c>
      <c r="K31" s="207" t="n">
        <v>0</v>
      </c>
      <c r="M31" s="207" t="n">
        <v>0</v>
      </c>
      <c r="O31" s="207" t="n">
        <v>0</v>
      </c>
      <c r="Q31" s="207" t="n">
        <v>0</v>
      </c>
      <c r="S31" s="207" t="n">
        <v>0</v>
      </c>
      <c r="U31" s="207" t="n">
        <v>0</v>
      </c>
      <c r="W31" s="207" t="n">
        <v>0</v>
      </c>
      <c r="Y31" s="207" t="n">
        <v>0</v>
      </c>
      <c r="AA31" s="207" t="n">
        <v>0</v>
      </c>
    </row>
    <row r="32" ht="15" customHeight="1" s="188">
      <c r="A32" s="187" t="n">
        <v>2</v>
      </c>
      <c r="B32" s="194" t="n"/>
      <c r="C32" s="206" t="n"/>
      <c r="D32" s="207" t="inlineStr">
        <is>
          <t>PEA</t>
        </is>
      </c>
      <c r="E32" s="207" t="n">
        <v>70</v>
      </c>
      <c r="G32" s="207" t="n">
        <v>0</v>
      </c>
      <c r="I32" s="207" t="n">
        <v>0</v>
      </c>
      <c r="K32" s="207" t="n">
        <v>0</v>
      </c>
      <c r="M32" s="207" t="n">
        <v>0</v>
      </c>
      <c r="O32" s="207" t="n">
        <v>0</v>
      </c>
      <c r="Q32" s="207" t="n">
        <v>0</v>
      </c>
      <c r="S32" s="207" t="n">
        <v>0</v>
      </c>
      <c r="U32" s="207" t="n">
        <v>0</v>
      </c>
      <c r="W32" s="207" t="n">
        <v>0</v>
      </c>
      <c r="Y32" s="207" t="n">
        <v>0</v>
      </c>
      <c r="Z32" s="208" t="n"/>
      <c r="AA32" s="207" t="n">
        <v>0</v>
      </c>
    </row>
    <row r="33" ht="15" customHeight="1" s="188">
      <c r="A33" s="187" t="n">
        <v>1</v>
      </c>
      <c r="B33" s="194" t="n"/>
      <c r="C33" s="206" t="n"/>
      <c r="D33" s="207" t="inlineStr">
        <is>
          <t>Boursorama</t>
        </is>
      </c>
      <c r="E33" s="207" t="n">
        <v>50</v>
      </c>
      <c r="G33" s="207" t="n">
        <v>0</v>
      </c>
      <c r="I33" s="207" t="n">
        <v>0</v>
      </c>
      <c r="K33" s="207" t="n">
        <v>0</v>
      </c>
      <c r="M33" s="207" t="n">
        <v>0</v>
      </c>
      <c r="O33" s="207" t="n">
        <v>0</v>
      </c>
      <c r="Q33" s="207" t="n">
        <v>0</v>
      </c>
      <c r="S33" s="207" t="n">
        <v>0</v>
      </c>
      <c r="U33" s="207" t="n">
        <v>0</v>
      </c>
      <c r="W33" s="207" t="n">
        <v>0</v>
      </c>
      <c r="Y33" s="207" t="n">
        <v>0</v>
      </c>
      <c r="AA33" s="207" t="n">
        <v>0</v>
      </c>
    </row>
    <row r="34" ht="15" customHeight="1" s="188">
      <c r="A34" s="187" t="n">
        <v>1</v>
      </c>
      <c r="B34" s="194" t="n"/>
      <c r="C34" s="206" t="n">
        <v>8</v>
      </c>
      <c r="D34" s="207" t="inlineStr">
        <is>
          <t>Trad212</t>
        </is>
      </c>
      <c r="E34" s="207" t="n">
        <v>15</v>
      </c>
      <c r="G34" s="207" t="n">
        <v>0</v>
      </c>
      <c r="I34" s="207" t="n">
        <v>0</v>
      </c>
      <c r="K34" s="207" t="n">
        <v>0</v>
      </c>
      <c r="M34" s="207" t="n">
        <v>0</v>
      </c>
      <c r="O34" s="207" t="n">
        <v>55</v>
      </c>
      <c r="Q34" s="207" t="n">
        <v>55</v>
      </c>
      <c r="S34" s="207" t="n">
        <v>55</v>
      </c>
      <c r="U34" s="207" t="n">
        <v>55</v>
      </c>
      <c r="W34" s="207" t="n">
        <v>55</v>
      </c>
      <c r="Y34" s="207" t="n">
        <v>55</v>
      </c>
      <c r="AA34" s="207" t="n">
        <v>55</v>
      </c>
    </row>
    <row r="35" ht="15" customHeight="1" s="188">
      <c r="A35" s="187" t="n">
        <v>1</v>
      </c>
      <c r="B35" s="201" t="n"/>
      <c r="C35" s="206" t="n"/>
      <c r="D35" s="207" t="inlineStr">
        <is>
          <t>Casden</t>
        </is>
      </c>
      <c r="E35" s="207" t="n">
        <v>250</v>
      </c>
      <c r="G35" s="207">
        <f>E35</f>
        <v/>
      </c>
      <c r="I35" s="207">
        <f>E35</f>
        <v/>
      </c>
      <c r="K35" s="207">
        <f>E35</f>
        <v/>
      </c>
      <c r="M35" s="207">
        <f>E35</f>
        <v/>
      </c>
      <c r="O35" s="207" t="n">
        <v>270</v>
      </c>
      <c r="Q35" s="207" t="n">
        <v>300</v>
      </c>
      <c r="S35" s="207" t="n">
        <v>300</v>
      </c>
      <c r="U35" s="207" t="n">
        <v>300</v>
      </c>
      <c r="W35" s="207" t="n">
        <v>300</v>
      </c>
      <c r="Y35" s="207" t="n">
        <v>300</v>
      </c>
      <c r="AA35" s="207" t="n">
        <v>300</v>
      </c>
    </row>
    <row r="37" ht="15" customHeight="1" s="188">
      <c r="A37" s="187" t="n">
        <v>2</v>
      </c>
      <c r="B37" s="209" t="inlineStr">
        <is>
          <t>DIVERS</t>
        </is>
      </c>
      <c r="C37" s="210" t="n"/>
      <c r="D37" s="211" t="inlineStr">
        <is>
          <t>Chauffage</t>
        </is>
      </c>
      <c r="E37" s="212" t="n">
        <v>0</v>
      </c>
      <c r="G37" s="212" t="n">
        <v>0</v>
      </c>
      <c r="H37" s="208" t="n"/>
      <c r="I37" s="212" t="n">
        <v>0</v>
      </c>
      <c r="K37" s="212" t="n">
        <v>0</v>
      </c>
      <c r="M37" s="212" t="n">
        <v>0</v>
      </c>
      <c r="O37" s="212" t="n">
        <v>0</v>
      </c>
      <c r="Q37" s="212" t="n">
        <v>0</v>
      </c>
      <c r="S37" s="212" t="n">
        <v>0</v>
      </c>
      <c r="U37" s="212" t="n">
        <v>0</v>
      </c>
      <c r="W37" s="212" t="n">
        <v>0</v>
      </c>
      <c r="Y37" s="212" t="n">
        <v>0</v>
      </c>
      <c r="AA37" s="212" t="n">
        <v>0</v>
      </c>
    </row>
    <row r="38" ht="15" customHeight="1" s="188">
      <c r="A38" s="187" t="n">
        <v>2</v>
      </c>
      <c r="B38" s="194" t="n"/>
      <c r="C38" s="210" t="n"/>
      <c r="D38" s="211" t="inlineStr">
        <is>
          <t>Ordure Ménageres</t>
        </is>
      </c>
      <c r="E38" s="212" t="n">
        <v>0</v>
      </c>
      <c r="G38" s="212" t="n">
        <v>156</v>
      </c>
      <c r="H38" s="208" t="n"/>
      <c r="I38" s="212" t="n">
        <v>0</v>
      </c>
      <c r="K38" s="212" t="n">
        <v>0</v>
      </c>
      <c r="M38" s="212" t="n">
        <v>0</v>
      </c>
      <c r="O38" s="212" t="n">
        <v>0</v>
      </c>
      <c r="Q38" s="212" t="n">
        <v>0</v>
      </c>
      <c r="S38" s="212" t="n">
        <v>0</v>
      </c>
      <c r="U38" s="212" t="n">
        <v>0</v>
      </c>
      <c r="W38" s="212" t="n">
        <v>0</v>
      </c>
      <c r="Y38" s="212" t="n">
        <v>0</v>
      </c>
      <c r="AA38" s="212" t="n">
        <v>0</v>
      </c>
    </row>
    <row r="39" ht="15" customHeight="1" s="188">
      <c r="A39" s="187" t="n">
        <v>1</v>
      </c>
      <c r="B39" s="194" t="n"/>
      <c r="C39" s="213" t="n"/>
      <c r="D39" s="211" t="inlineStr">
        <is>
          <t>Assurance habitation</t>
        </is>
      </c>
      <c r="E39" s="212" t="n">
        <v>0</v>
      </c>
      <c r="G39" s="212" t="n">
        <v>0</v>
      </c>
      <c r="I39" s="212" t="n">
        <v>240</v>
      </c>
      <c r="K39" s="212" t="n">
        <v>0</v>
      </c>
      <c r="M39" s="212" t="n">
        <v>0</v>
      </c>
      <c r="O39" s="212" t="n">
        <v>0</v>
      </c>
      <c r="Q39" s="212" t="n">
        <v>0</v>
      </c>
      <c r="S39" s="212" t="n">
        <v>0</v>
      </c>
      <c r="U39" s="212" t="n">
        <v>0</v>
      </c>
      <c r="W39" s="212" t="n">
        <v>0</v>
      </c>
      <c r="Y39" s="212" t="n">
        <v>0</v>
      </c>
      <c r="AA39" s="212" t="n">
        <v>0</v>
      </c>
    </row>
    <row r="40" ht="15" customHeight="1" s="188">
      <c r="A40" s="187" t="n">
        <v>1</v>
      </c>
      <c r="B40" s="194" t="n"/>
      <c r="C40" s="213" t="n"/>
      <c r="D40" s="212" t="inlineStr">
        <is>
          <t>cantine</t>
        </is>
      </c>
      <c r="O40" s="212" t="n">
        <v>60</v>
      </c>
      <c r="Q40" s="212" t="n">
        <v>60</v>
      </c>
      <c r="S40" s="212" t="n">
        <v>0</v>
      </c>
      <c r="U40" s="212" t="n">
        <v>0</v>
      </c>
      <c r="W40" s="212" t="n">
        <v>0</v>
      </c>
      <c r="Y40" s="212" t="n">
        <v>0</v>
      </c>
      <c r="AA40" s="212" t="n">
        <v>0</v>
      </c>
    </row>
    <row r="41" ht="21" customHeight="1" s="188">
      <c r="A41" s="187" t="n">
        <v>2</v>
      </c>
      <c r="B41" s="201" t="n"/>
      <c r="C41" s="213" t="n"/>
      <c r="D41" s="212" t="inlineStr">
        <is>
          <t>autres</t>
        </is>
      </c>
      <c r="O41" s="212">
        <f>1120+130+439+1060+800</f>
        <v/>
      </c>
      <c r="Q41" s="214" t="n">
        <v>88</v>
      </c>
      <c r="S41" s="214" t="n">
        <v>30</v>
      </c>
    </row>
    <row r="43" ht="15" customHeight="1" s="188">
      <c r="A43" s="187" t="n">
        <v>1</v>
      </c>
      <c r="D43" s="215" t="inlineStr">
        <is>
          <t>nourriture</t>
        </is>
      </c>
      <c r="E43" s="215" t="n">
        <v>100</v>
      </c>
      <c r="G43" s="215" t="n">
        <v>125</v>
      </c>
      <c r="I43" s="215" t="n">
        <v>125</v>
      </c>
      <c r="K43" s="215" t="n">
        <v>125</v>
      </c>
      <c r="M43" s="215" t="n">
        <v>125</v>
      </c>
      <c r="O43" s="215" t="n">
        <v>100</v>
      </c>
      <c r="Q43" s="215" t="n">
        <v>100</v>
      </c>
      <c r="S43" s="215" t="n">
        <v>120</v>
      </c>
      <c r="U43" s="215" t="n">
        <v>120</v>
      </c>
      <c r="W43" s="215" t="n">
        <v>120</v>
      </c>
      <c r="Y43" s="215" t="n">
        <v>120</v>
      </c>
      <c r="AA43" s="215" t="n">
        <v>120</v>
      </c>
    </row>
    <row r="44" ht="15" customHeight="1" s="188">
      <c r="A44" s="187" t="n">
        <v>1</v>
      </c>
      <c r="D44" s="215" t="inlineStr">
        <is>
          <t>nourriture</t>
        </is>
      </c>
      <c r="E44" s="216" t="n">
        <v>140</v>
      </c>
      <c r="G44" s="216" t="n">
        <v>125</v>
      </c>
      <c r="I44" s="216" t="n">
        <v>125</v>
      </c>
      <c r="K44" s="216" t="n">
        <v>125</v>
      </c>
      <c r="M44" s="216" t="n">
        <v>125</v>
      </c>
      <c r="O44" s="216" t="n">
        <v>100</v>
      </c>
      <c r="Q44" s="216" t="n">
        <v>100</v>
      </c>
      <c r="S44" s="215" t="n">
        <v>120</v>
      </c>
      <c r="U44" s="215" t="n">
        <v>120</v>
      </c>
      <c r="W44" s="215" t="n">
        <v>120</v>
      </c>
      <c r="Y44" s="215" t="n">
        <v>120</v>
      </c>
      <c r="AA44" s="215" t="n">
        <v>120</v>
      </c>
    </row>
    <row r="45" ht="15" customHeight="1" s="188">
      <c r="E45" s="217" t="n"/>
      <c r="G45" s="217" t="n"/>
      <c r="I45" s="217" t="n"/>
      <c r="K45" s="217" t="n"/>
      <c r="M45" s="217" t="n"/>
      <c r="O45" s="217" t="n"/>
      <c r="Q45" s="217" t="n"/>
      <c r="S45" s="217" t="n"/>
      <c r="U45" s="217" t="n"/>
      <c r="W45" s="217" t="n"/>
      <c r="Y45" s="217" t="n"/>
      <c r="AA45" s="217" t="n"/>
    </row>
    <row r="46" ht="15" customHeight="1" s="188">
      <c r="D46" s="203" t="inlineStr">
        <is>
          <t>1er + 2eme</t>
        </is>
      </c>
      <c r="E46" s="217">
        <f>SUM(E8:E45)</f>
        <v/>
      </c>
      <c r="G46" s="217">
        <f>SUM(G8:G45)</f>
        <v/>
      </c>
      <c r="I46" s="217">
        <f>SUM(I8:I45)</f>
        <v/>
      </c>
      <c r="K46" s="217">
        <f>SUM(K8:K45)</f>
        <v/>
      </c>
      <c r="M46" s="217">
        <f>SUM(M8:M45)</f>
        <v/>
      </c>
      <c r="O46" s="217">
        <f>SUM(O8:O45)</f>
        <v/>
      </c>
      <c r="Q46" s="217">
        <f>SUM(Q8:Q45)</f>
        <v/>
      </c>
      <c r="S46" s="217">
        <f>SUM(S8:S45)</f>
        <v/>
      </c>
      <c r="U46" s="217">
        <f>SUM(U8:U45)</f>
        <v/>
      </c>
      <c r="W46" s="217">
        <f>SUM(W8:W45)</f>
        <v/>
      </c>
      <c r="Y46" s="217">
        <f>SUM(Y8:Y45)</f>
        <v/>
      </c>
      <c r="AA46" s="217">
        <f>SUM(AA8:AA45)</f>
        <v/>
      </c>
    </row>
    <row r="47" ht="15" customHeight="1" s="188">
      <c r="D47" s="203" t="inlineStr">
        <is>
          <t>1er quizaine</t>
        </is>
      </c>
      <c r="E47" s="217">
        <f>SUMIF($A$8:$A$41,"=1",E8:E41)</f>
        <v/>
      </c>
      <c r="G47" s="217">
        <f>SUMIF($A$8:$A$45,"=1",G8:G45)</f>
        <v/>
      </c>
      <c r="I47" s="217">
        <f>SUMIF($A$8:$A$41,"=1",I8:I41)</f>
        <v/>
      </c>
      <c r="K47" s="217">
        <f>SUMIF($A$8:$A$45,"=1",K8:K45)</f>
        <v/>
      </c>
      <c r="M47" s="217">
        <f>SUMIF($A$8:$A$45,"=1",M8:M45)</f>
        <v/>
      </c>
      <c r="O47" s="217">
        <f>SUMIF($A$8:$A$45,"=1",O8:O45)</f>
        <v/>
      </c>
      <c r="Q47" s="217">
        <f>SUMIF($A$8:$A$45,"=1",Q8:Q45)</f>
        <v/>
      </c>
      <c r="S47" s="217">
        <f>SUMIF($A$8:$A$45,"=1",S8:S45)</f>
        <v/>
      </c>
      <c r="U47" s="217">
        <f>SUMIF($A$8:$A$45,"=1",U8:U45)</f>
        <v/>
      </c>
      <c r="W47" s="217">
        <f>SUMIF($A$8:$A$45,"=1",W8:W45)</f>
        <v/>
      </c>
      <c r="Y47" s="217">
        <f>SUMIF($A$8:$A$45,"=1",Y8:Y45)</f>
        <v/>
      </c>
      <c r="AA47" s="217">
        <f>SUMIF($A$8:$A$45,"=1",AA8:AA45)</f>
        <v/>
      </c>
    </row>
    <row r="48" ht="15" customHeight="1" s="188">
      <c r="D48" s="203" t="inlineStr">
        <is>
          <t>2eme quinzaine</t>
        </is>
      </c>
      <c r="E48" s="217">
        <f>SUMIF($A$8:$A$41,"=2",E8:E41)</f>
        <v/>
      </c>
      <c r="G48" s="217">
        <f>SUMIF($A$8:$A$45,"=2",G8:G45)</f>
        <v/>
      </c>
      <c r="I48" s="217">
        <f>SUMIF($A$8:$A$41,"=2",I8:I41)</f>
        <v/>
      </c>
      <c r="K48" s="217">
        <f>SUMIF($A$8:$A$45,"=2",K8:K45)</f>
        <v/>
      </c>
      <c r="M48" s="217">
        <f>SUMIF($A$8:$A$45,"=2",M8:M45)</f>
        <v/>
      </c>
      <c r="O48" s="217">
        <f>SUMIF($A$8:$A$45,"=2",O8:O45)</f>
        <v/>
      </c>
      <c r="Q48" s="217">
        <f>SUMIF($A$8:$A$45,"=2",Q8:Q45)</f>
        <v/>
      </c>
      <c r="S48" s="217">
        <f>SUMIF($A$8:$A$45,"=2",S8:S45)</f>
        <v/>
      </c>
      <c r="U48" s="217">
        <f>SUMIF($A$8:$A$45,"=2",U8:U45)</f>
        <v/>
      </c>
      <c r="W48" s="217">
        <f>SUMIF($A$8:$A$45,"=2",W8:W45)</f>
        <v/>
      </c>
      <c r="Y48" s="217">
        <f>SUMIF($A$8:$A$45,"=2",Y8:Y45)</f>
        <v/>
      </c>
      <c r="AA48" s="217">
        <f>SUMIF($A$8:$A$45,"=2",AA8:AA45)</f>
        <v/>
      </c>
    </row>
    <row r="49" ht="15" customHeight="1" s="188">
      <c r="D49" s="203" t="inlineStr">
        <is>
          <t>Reste</t>
        </is>
      </c>
      <c r="E49" s="218">
        <f>$B$5-E46</f>
        <v/>
      </c>
      <c r="G49" s="218">
        <f>$B$5-G46</f>
        <v/>
      </c>
      <c r="I49" s="218">
        <f>$B$5-I46</f>
        <v/>
      </c>
      <c r="K49" s="218">
        <f>$B$5-K46</f>
        <v/>
      </c>
      <c r="M49" s="218">
        <f>$B$5-M46</f>
        <v/>
      </c>
      <c r="O49" s="218">
        <f>$B$5-O46</f>
        <v/>
      </c>
      <c r="Q49" s="218">
        <f>$B$5-Q46</f>
        <v/>
      </c>
      <c r="S49" s="218">
        <f>$B$5-S46</f>
        <v/>
      </c>
      <c r="U49" s="218">
        <f>$B$5-U46</f>
        <v/>
      </c>
      <c r="W49" s="218">
        <f>$B$5-W46</f>
        <v/>
      </c>
      <c r="Y49" s="218">
        <f>$B$5-Y46</f>
        <v/>
      </c>
      <c r="AA49" s="218">
        <f>$B$5-AA46</f>
        <v/>
      </c>
    </row>
    <row r="50" ht="15" customHeight="1" s="188">
      <c r="G50" s="219" t="n"/>
    </row>
    <row r="51" ht="15" customHeight="1" s="188">
      <c r="E51" s="219" t="n"/>
    </row>
    <row r="52" ht="15" customHeight="1" s="188">
      <c r="Q52" s="219" t="n"/>
    </row>
    <row r="55" ht="15" customHeight="1" s="188">
      <c r="D55" s="187" t="inlineStr">
        <is>
          <t>assurance prêt</t>
        </is>
      </c>
      <c r="E55" s="187">
        <f>29*4</f>
        <v/>
      </c>
    </row>
    <row r="56" ht="15" customHeight="1" s="188">
      <c r="D56" s="187" t="inlineStr">
        <is>
          <t xml:space="preserve">entretien chaudiere </t>
        </is>
      </c>
      <c r="E56" s="187" t="n">
        <v>95</v>
      </c>
    </row>
    <row r="57" ht="15" customHeight="1" s="188">
      <c r="D57" s="187" t="inlineStr">
        <is>
          <t>charge corpo</t>
        </is>
      </c>
      <c r="E57" s="187">
        <f>270*4</f>
        <v/>
      </c>
      <c r="F57" s="220">
        <f>205*4</f>
        <v/>
      </c>
    </row>
    <row r="58" ht="15" customHeight="1" s="188">
      <c r="D58" s="187" t="inlineStr">
        <is>
          <t xml:space="preserve">asssurances </t>
        </is>
      </c>
      <c r="E58" s="187" t="n">
        <v>314</v>
      </c>
      <c r="F58" s="187" t="n">
        <v>40</v>
      </c>
      <c r="G58" s="187" t="n">
        <v>290</v>
      </c>
    </row>
    <row r="59" ht="15" customHeight="1" s="188">
      <c r="D59" s="187" t="inlineStr">
        <is>
          <t>impot</t>
        </is>
      </c>
      <c r="E59" s="187" t="n">
        <v>0</v>
      </c>
    </row>
    <row r="60" ht="15" customHeight="1" s="188">
      <c r="D60" s="187" t="inlineStr">
        <is>
          <t xml:space="preserve">poubelle </t>
        </is>
      </c>
      <c r="E60" s="187" t="n">
        <v>320</v>
      </c>
    </row>
    <row r="62" ht="15" customHeight="1" s="188">
      <c r="D62" s="187" t="inlineStr">
        <is>
          <t>Total année</t>
        </is>
      </c>
      <c r="E62" s="220">
        <f>E60+E59+E58+E57+F57+F58+G58+E56+E55</f>
        <v/>
      </c>
    </row>
    <row r="63" ht="15" customHeight="1" s="188">
      <c r="D63" s="187" t="inlineStr">
        <is>
          <t>Total mois</t>
        </is>
      </c>
      <c r="E63" s="187">
        <f>E62/12</f>
        <v/>
      </c>
    </row>
  </sheetData>
  <mergeCells count="4">
    <mergeCell ref="B31:B35"/>
    <mergeCell ref="B23:B29"/>
    <mergeCell ref="B37:B41"/>
    <mergeCell ref="B8:B21"/>
  </mergeCells>
  <conditionalFormatting sqref="A29">
    <cfRule type="cellIs" rank="0" priority="2" equalAverage="0" operator="equal" aboveAverage="0" dxfId="0" text="" percent="0" bottom="0">
      <formula>1</formula>
    </cfRule>
  </conditionalFormatting>
  <conditionalFormatting sqref="A44">
    <cfRule type="cellIs" rank="0" priority="3" equalAverage="0" operator="equal" aboveAverage="0" dxfId="0" text="" percent="0" bottom="0">
      <formula>1</formula>
    </cfRule>
  </conditionalFormatting>
  <conditionalFormatting sqref="A18">
    <cfRule type="cellIs" rank="0" priority="4" equalAverage="0" operator="equal" aboveAverage="0" dxfId="1" text="" percent="0" bottom="0">
      <formula>2</formula>
    </cfRule>
  </conditionalFormatting>
  <conditionalFormatting sqref="A21">
    <cfRule type="cellIs" rank="0" priority="5" equalAverage="0" operator="equal" aboveAverage="0" dxfId="1" text="" percent="0" bottom="0">
      <formula>2</formula>
    </cfRule>
  </conditionalFormatting>
  <conditionalFormatting sqref="A19:A20">
    <cfRule type="cellIs" rank="0" priority="6" equalAverage="0" operator="equal" aboveAverage="0" dxfId="1" text="" percent="0" bottom="0">
      <formula>2</formula>
    </cfRule>
  </conditionalFormatting>
  <conditionalFormatting sqref="A17">
    <cfRule type="cellIs" rank="0" priority="7" equalAverage="0" operator="equal" aboveAverage="0" dxfId="0" text="" percent="0" bottom="0">
      <formula>1</formula>
    </cfRule>
  </conditionalFormatting>
  <conditionalFormatting sqref="A28">
    <cfRule type="cellIs" rank="0" priority="8" equalAverage="0" operator="equal" aboveAverage="0" dxfId="0" text="" percent="0" bottom="0">
      <formula>1</formula>
    </cfRule>
  </conditionalFormatting>
  <conditionalFormatting sqref="A41">
    <cfRule type="cellIs" rank="0" priority="9" equalAverage="0" operator="equal" aboveAverage="0" dxfId="1" text="" percent="0" bottom="0">
      <formula>2</formula>
    </cfRule>
  </conditionalFormatting>
  <conditionalFormatting sqref="A38">
    <cfRule type="cellIs" rank="0" priority="10" equalAverage="0" operator="equal" aboveAverage="0" dxfId="1" text="" percent="0" bottom="0">
      <formula>2</formula>
    </cfRule>
  </conditionalFormatting>
  <conditionalFormatting sqref="A39">
    <cfRule type="cellIs" rank="0" priority="11" equalAverage="0" operator="equal" aboveAverage="0" dxfId="0" text="" percent="0" bottom="0">
      <formula>1</formula>
    </cfRule>
  </conditionalFormatting>
  <conditionalFormatting sqref="A33">
    <cfRule type="cellIs" rank="0" priority="12" equalAverage="0" operator="equal" aboveAverage="0" dxfId="0" text="" percent="0" bottom="0">
      <formula>1</formula>
    </cfRule>
  </conditionalFormatting>
  <conditionalFormatting sqref="A34">
    <cfRule type="cellIs" rank="0" priority="13" equalAverage="0" operator="equal" aboveAverage="0" dxfId="0" text="" percent="0" bottom="0">
      <formula>1</formula>
    </cfRule>
  </conditionalFormatting>
  <conditionalFormatting sqref="A37">
    <cfRule type="cellIs" rank="0" priority="14" equalAverage="0" operator="equal" aboveAverage="0" dxfId="1" text="" percent="0" bottom="0">
      <formula>2</formula>
    </cfRule>
  </conditionalFormatting>
  <conditionalFormatting sqref="A14:A15 A23">
    <cfRule type="cellIs" rank="0" priority="15" equalAverage="0" operator="equal" aboveAverage="0" dxfId="1" text="" percent="0" bottom="0">
      <formula>2</formula>
    </cfRule>
  </conditionalFormatting>
  <conditionalFormatting sqref="A27 A30:A32">
    <cfRule type="cellIs" rank="0" priority="16" equalAverage="0" operator="equal" aboveAverage="0" dxfId="1" text="" percent="0" bottom="0">
      <formula>2</formula>
    </cfRule>
  </conditionalFormatting>
  <conditionalFormatting sqref="A9">
    <cfRule type="cellIs" rank="0" priority="17" equalAverage="0" operator="equal" aboveAverage="0" dxfId="1" text="" percent="0" bottom="0">
      <formula>2</formula>
    </cfRule>
  </conditionalFormatting>
  <conditionalFormatting sqref="A43">
    <cfRule type="cellIs" rank="0" priority="18" equalAverage="0" operator="equal" aboveAverage="0" dxfId="0" text="" percent="0" bottom="0">
      <formula>1</formula>
    </cfRule>
  </conditionalFormatting>
  <conditionalFormatting sqref="A35">
    <cfRule type="cellIs" rank="0" priority="19" equalAverage="0" operator="equal" aboveAverage="0" dxfId="0" text="" percent="0" bottom="0">
      <formula>1</formula>
    </cfRule>
  </conditionalFormatting>
  <conditionalFormatting sqref="A26">
    <cfRule type="cellIs" rank="0" priority="20" equalAverage="0" operator="equal" aboveAverage="0" dxfId="0" text="" percent="0" bottom="0">
      <formula>1</formula>
    </cfRule>
  </conditionalFormatting>
  <conditionalFormatting sqref="A25">
    <cfRule type="cellIs" rank="0" priority="21" equalAverage="0" operator="equal" aboveAverage="0" dxfId="0" text="" percent="0" bottom="0">
      <formula>1</formula>
    </cfRule>
  </conditionalFormatting>
  <conditionalFormatting sqref="A24">
    <cfRule type="cellIs" rank="0" priority="22" equalAverage="0" operator="equal" aboveAverage="0" dxfId="0" text="" percent="0" bottom="0">
      <formula>1</formula>
    </cfRule>
  </conditionalFormatting>
  <conditionalFormatting sqref="A13">
    <cfRule type="cellIs" rank="0" priority="23" equalAverage="0" operator="equal" aboveAverage="0" dxfId="0" text="" percent="0" bottom="0">
      <formula>1</formula>
    </cfRule>
  </conditionalFormatting>
  <conditionalFormatting sqref="A12">
    <cfRule type="cellIs" rank="0" priority="24" equalAverage="0" operator="equal" aboveAverage="0" dxfId="0" text="" percent="0" bottom="0">
      <formula>1</formula>
    </cfRule>
  </conditionalFormatting>
  <conditionalFormatting sqref="A10">
    <cfRule type="cellIs" rank="0" priority="25" equalAverage="0" operator="equal" aboveAverage="0" dxfId="0" text="" percent="0" bottom="0">
      <formula>1</formula>
    </cfRule>
  </conditionalFormatting>
  <conditionalFormatting sqref="A8">
    <cfRule type="cellIs" rank="0" priority="26" equalAverage="0" operator="equal" aboveAverage="0" dxfId="1" text="" percent="0" bottom="0">
      <formula>2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AA44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S34" activeCellId="0" sqref="S34"/>
    </sheetView>
  </sheetViews>
  <sheetFormatPr baseColWidth="8" defaultColWidth="9.1484375" defaultRowHeight="15" zeroHeight="0" outlineLevelRow="0"/>
  <cols>
    <col width="7" customWidth="1" style="187" min="1" max="1"/>
    <col width="5" customWidth="1" style="187" min="2" max="2"/>
    <col width="19.71" customWidth="1" style="187" min="4" max="4"/>
    <col width="9.42" customWidth="1" style="187" min="5" max="5"/>
    <col width="8.859999999999999" customWidth="1" style="187" min="6" max="6"/>
    <col width="9.42" customWidth="1" style="187" min="7" max="7"/>
    <col width="4" customWidth="1" style="187" min="10" max="10"/>
    <col width="9.42" customWidth="1" style="187" min="11" max="11"/>
    <col width="4.29" customWidth="1" style="187" min="14" max="14"/>
    <col width="9.42" customWidth="1" style="187" min="15" max="15"/>
    <col width="4" customWidth="1" style="187" min="16" max="16"/>
    <col width="5.71" customWidth="1" style="187" min="18" max="18"/>
    <col width="10.85" customWidth="1" style="187" min="21" max="21"/>
    <col width="10.14" customWidth="1" style="187" min="27" max="27"/>
  </cols>
  <sheetData>
    <row r="5" ht="15" customHeight="1" s="188">
      <c r="A5" s="187" t="inlineStr">
        <is>
          <t>Salaire</t>
        </is>
      </c>
      <c r="B5" s="187" t="n">
        <v>2600</v>
      </c>
    </row>
    <row r="6" ht="15" customHeight="1" s="188">
      <c r="E6" s="189" t="inlineStr">
        <is>
          <t>Janvier</t>
        </is>
      </c>
      <c r="G6" s="189" t="inlineStr">
        <is>
          <t>Février</t>
        </is>
      </c>
      <c r="I6" s="189" t="inlineStr">
        <is>
          <t>Mars</t>
        </is>
      </c>
      <c r="K6" s="189" t="inlineStr">
        <is>
          <t>Avril</t>
        </is>
      </c>
      <c r="M6" s="189" t="inlineStr">
        <is>
          <t>Mai</t>
        </is>
      </c>
      <c r="O6" s="189" t="inlineStr">
        <is>
          <t>Juin</t>
        </is>
      </c>
      <c r="Q6" s="189" t="inlineStr">
        <is>
          <t>Juillet</t>
        </is>
      </c>
      <c r="S6" s="189" t="inlineStr">
        <is>
          <t>Aout</t>
        </is>
      </c>
      <c r="U6" s="189" t="inlineStr">
        <is>
          <t>Septembre</t>
        </is>
      </c>
      <c r="W6" s="189" t="inlineStr">
        <is>
          <t>Octobre</t>
        </is>
      </c>
      <c r="Y6" s="189" t="inlineStr">
        <is>
          <t>Novembre</t>
        </is>
      </c>
      <c r="AA6" s="189" t="inlineStr">
        <is>
          <t>Décembre</t>
        </is>
      </c>
    </row>
    <row r="8" ht="15" customHeight="1" s="188">
      <c r="A8" s="187" t="n">
        <v>2</v>
      </c>
      <c r="B8" s="202" t="inlineStr">
        <is>
          <t>APPARTS</t>
        </is>
      </c>
      <c r="C8" s="191" t="inlineStr">
        <is>
          <t>Date jour</t>
        </is>
      </c>
      <c r="D8" s="192" t="inlineStr">
        <is>
          <t>Prêt App1</t>
        </is>
      </c>
      <c r="E8" s="193" t="n">
        <v>248</v>
      </c>
      <c r="G8" s="193" t="n">
        <v>248</v>
      </c>
      <c r="I8" s="193" t="n">
        <v>248</v>
      </c>
      <c r="K8" s="193" t="n">
        <v>248</v>
      </c>
      <c r="M8" s="193" t="n">
        <v>248</v>
      </c>
      <c r="O8" s="193" t="n">
        <v>248</v>
      </c>
      <c r="Q8" s="193" t="n">
        <v>248</v>
      </c>
      <c r="S8" s="193" t="n">
        <v>248</v>
      </c>
      <c r="U8" s="193" t="n">
        <v>248</v>
      </c>
      <c r="W8" s="193" t="n">
        <v>248</v>
      </c>
      <c r="Y8" s="193" t="n">
        <v>248</v>
      </c>
      <c r="AA8" s="193" t="n">
        <v>248</v>
      </c>
    </row>
    <row r="9" ht="15" customHeight="1" s="188">
      <c r="A9" s="187" t="n">
        <v>2</v>
      </c>
      <c r="B9" s="194" t="n"/>
      <c r="C9" s="191" t="n"/>
      <c r="D9" s="192" t="inlineStr">
        <is>
          <t>Charge App1</t>
        </is>
      </c>
      <c r="E9" s="195" t="n">
        <v>0</v>
      </c>
      <c r="G9" s="195" t="n">
        <v>0</v>
      </c>
      <c r="I9" s="195" t="n">
        <v>0</v>
      </c>
      <c r="K9" s="195" t="n">
        <v>0</v>
      </c>
      <c r="M9" s="195" t="n">
        <v>0</v>
      </c>
      <c r="O9" s="195" t="n">
        <v>176</v>
      </c>
      <c r="Q9" s="195" t="n">
        <v>0</v>
      </c>
      <c r="S9" s="195" t="n">
        <v>0</v>
      </c>
      <c r="U9" s="195" t="n">
        <v>176</v>
      </c>
      <c r="W9" s="195" t="n">
        <v>0</v>
      </c>
      <c r="Y9" s="195" t="n">
        <v>0</v>
      </c>
      <c r="AA9" s="195" t="n">
        <v>176</v>
      </c>
    </row>
    <row r="10" ht="15" customHeight="1" s="188">
      <c r="A10" s="187" t="n">
        <v>2</v>
      </c>
      <c r="B10" s="194" t="n"/>
      <c r="C10" s="191" t="n">
        <v>16</v>
      </c>
      <c r="D10" s="192" t="inlineStr">
        <is>
          <t xml:space="preserve">Taxe Fonc App1 </t>
        </is>
      </c>
      <c r="E10" s="193" t="n">
        <v>75</v>
      </c>
      <c r="G10" s="193" t="n">
        <v>75</v>
      </c>
      <c r="I10" s="193" t="n">
        <v>75</v>
      </c>
      <c r="K10" s="193" t="n">
        <v>75</v>
      </c>
      <c r="M10" s="193" t="n">
        <v>75</v>
      </c>
      <c r="O10" s="193" t="n">
        <v>75</v>
      </c>
      <c r="Q10" s="193" t="n">
        <v>75</v>
      </c>
      <c r="S10" s="193" t="n">
        <v>75</v>
      </c>
      <c r="U10" s="193" t="n">
        <v>75</v>
      </c>
      <c r="W10" s="193" t="n">
        <v>75</v>
      </c>
      <c r="Y10" s="193" t="n">
        <v>14</v>
      </c>
      <c r="AA10" s="193" t="n">
        <v>0</v>
      </c>
    </row>
    <row r="11" ht="15" customHeight="1" s="188">
      <c r="B11" s="194" t="n"/>
    </row>
    <row r="12" ht="15" customHeight="1" s="188">
      <c r="A12" s="187" t="n">
        <v>1</v>
      </c>
      <c r="B12" s="194" t="n"/>
      <c r="C12" s="191" t="n">
        <v>6</v>
      </c>
      <c r="D12" s="196" t="inlineStr">
        <is>
          <t>Prêt App2</t>
        </is>
      </c>
      <c r="E12" s="197" t="n">
        <v>366</v>
      </c>
      <c r="G12" s="197" t="n">
        <v>366</v>
      </c>
      <c r="I12" s="197" t="n">
        <v>366</v>
      </c>
      <c r="K12" s="197" t="n">
        <v>366</v>
      </c>
      <c r="M12" s="197" t="n">
        <v>366</v>
      </c>
      <c r="O12" s="197" t="n">
        <v>366</v>
      </c>
      <c r="Q12" s="197" t="n">
        <v>366</v>
      </c>
      <c r="S12" s="197" t="n">
        <v>366</v>
      </c>
      <c r="U12" s="197" t="n">
        <v>366</v>
      </c>
      <c r="W12" s="197" t="n">
        <v>366</v>
      </c>
      <c r="Y12" s="197" t="n">
        <v>366</v>
      </c>
      <c r="AA12" s="197" t="n">
        <v>366</v>
      </c>
    </row>
    <row r="13" ht="15" customHeight="1" s="188">
      <c r="A13" s="187" t="n">
        <v>1</v>
      </c>
      <c r="B13" s="194" t="n"/>
      <c r="C13" s="191" t="n"/>
      <c r="D13" s="196" t="inlineStr">
        <is>
          <t>Assurance</t>
        </is>
      </c>
      <c r="E13" s="197" t="n">
        <v>0</v>
      </c>
      <c r="G13" s="197" t="n">
        <v>0</v>
      </c>
      <c r="I13" s="197" t="n">
        <v>30</v>
      </c>
      <c r="K13" s="197" t="n">
        <v>0</v>
      </c>
      <c r="M13" s="197" t="n">
        <v>0</v>
      </c>
      <c r="O13" s="197" t="n">
        <v>0</v>
      </c>
      <c r="Q13" s="197" t="n">
        <v>0</v>
      </c>
      <c r="S13" s="197" t="n">
        <v>0</v>
      </c>
      <c r="U13" s="197" t="n">
        <v>29</v>
      </c>
      <c r="W13" s="197" t="n">
        <v>0</v>
      </c>
      <c r="Y13" s="197" t="n">
        <v>0</v>
      </c>
      <c r="AA13" s="197" t="n">
        <v>0</v>
      </c>
    </row>
    <row r="14" ht="15" customHeight="1" s="188">
      <c r="A14" s="187" t="n">
        <v>2</v>
      </c>
      <c r="B14" s="194" t="n"/>
      <c r="C14" s="191" t="n"/>
      <c r="D14" s="196" t="inlineStr">
        <is>
          <t>Charge App2</t>
        </is>
      </c>
      <c r="E14" s="198" t="n">
        <v>0</v>
      </c>
      <c r="G14" s="198" t="n">
        <v>0</v>
      </c>
      <c r="I14" s="198" t="n">
        <v>0</v>
      </c>
      <c r="K14" s="198" t="n">
        <v>0</v>
      </c>
      <c r="M14" s="198" t="n">
        <v>0</v>
      </c>
      <c r="O14" s="198" t="n">
        <v>256</v>
      </c>
      <c r="Q14" s="198" t="n">
        <v>0</v>
      </c>
      <c r="S14" s="198" t="n">
        <v>0</v>
      </c>
      <c r="U14" s="198" t="n">
        <v>256</v>
      </c>
      <c r="W14" s="198" t="n">
        <v>0</v>
      </c>
      <c r="Y14" s="198" t="n">
        <v>0</v>
      </c>
      <c r="AA14" s="198" t="n">
        <v>0</v>
      </c>
    </row>
    <row r="15" ht="15" customHeight="1" s="188">
      <c r="A15" s="187" t="n">
        <v>2</v>
      </c>
      <c r="B15" s="201" t="n"/>
      <c r="C15" s="191" t="n"/>
      <c r="D15" s="196" t="inlineStr">
        <is>
          <t>Taxe Fonc App2</t>
        </is>
      </c>
      <c r="E15" s="197" t="n">
        <v>96</v>
      </c>
      <c r="G15" s="197" t="n">
        <v>96</v>
      </c>
      <c r="I15" s="197" t="n">
        <v>96</v>
      </c>
      <c r="K15" s="197" t="n">
        <v>96</v>
      </c>
      <c r="M15" s="197" t="n">
        <v>96</v>
      </c>
      <c r="O15" s="197" t="n">
        <v>96</v>
      </c>
      <c r="Q15" s="197" t="n">
        <v>96</v>
      </c>
      <c r="S15" s="197" t="n">
        <v>96</v>
      </c>
      <c r="U15" s="197" t="n">
        <v>96</v>
      </c>
      <c r="W15" s="197" t="n">
        <v>96</v>
      </c>
      <c r="Y15" s="197" t="n">
        <v>14</v>
      </c>
      <c r="AA15" s="197" t="n">
        <v>0</v>
      </c>
    </row>
    <row r="17" ht="15" customHeight="1" s="188">
      <c r="A17" s="187" t="n">
        <v>2</v>
      </c>
      <c r="B17" s="202" t="inlineStr">
        <is>
          <t>CHARGES</t>
        </is>
      </c>
      <c r="C17" s="203" t="n">
        <v>24</v>
      </c>
      <c r="D17" s="204" t="inlineStr">
        <is>
          <t>Electricité-Gaz</t>
        </is>
      </c>
      <c r="E17" s="204" t="n">
        <v>196</v>
      </c>
      <c r="G17" s="204" t="n">
        <v>232</v>
      </c>
      <c r="I17" s="204" t="n">
        <v>171</v>
      </c>
      <c r="K17" s="204" t="n">
        <v>165</v>
      </c>
      <c r="M17" s="204" t="n">
        <v>150</v>
      </c>
      <c r="O17" s="204" t="n">
        <v>105</v>
      </c>
      <c r="Q17" s="204" t="n">
        <v>85</v>
      </c>
      <c r="S17" s="204" t="n">
        <v>95</v>
      </c>
      <c r="U17" s="204" t="n">
        <v>92</v>
      </c>
      <c r="W17" s="204" t="n">
        <v>150</v>
      </c>
      <c r="Y17" s="204" t="n">
        <v>135</v>
      </c>
      <c r="AA17" s="204" t="n">
        <v>92</v>
      </c>
    </row>
    <row r="18" ht="15" customHeight="1" s="188">
      <c r="A18" s="187" t="n">
        <v>1</v>
      </c>
      <c r="B18" s="194" t="n"/>
      <c r="C18" s="203" t="n">
        <v>8</v>
      </c>
      <c r="D18" s="204" t="inlineStr">
        <is>
          <t>SNCF</t>
        </is>
      </c>
      <c r="E18" s="204" t="n">
        <v>141</v>
      </c>
      <c r="G18" s="204" t="n">
        <v>141</v>
      </c>
      <c r="I18" s="204" t="n">
        <v>141</v>
      </c>
      <c r="K18" s="204" t="n">
        <v>141</v>
      </c>
      <c r="M18" s="204" t="n">
        <v>141</v>
      </c>
      <c r="O18" s="204" t="n">
        <v>141</v>
      </c>
      <c r="Q18" s="204" t="n">
        <v>141</v>
      </c>
      <c r="S18" s="204" t="n">
        <v>141</v>
      </c>
      <c r="U18" s="204" t="n">
        <v>141</v>
      </c>
      <c r="W18" s="204" t="n">
        <v>141</v>
      </c>
      <c r="Y18" s="204" t="n">
        <v>141</v>
      </c>
      <c r="AA18" s="204" t="n">
        <v>141</v>
      </c>
    </row>
    <row r="19" ht="15" customHeight="1" s="188">
      <c r="A19" s="187" t="n">
        <v>1</v>
      </c>
      <c r="B19" s="194" t="n"/>
      <c r="C19" s="203" t="n">
        <v>10</v>
      </c>
      <c r="D19" s="204" t="inlineStr">
        <is>
          <t>Mutuelle</t>
        </is>
      </c>
      <c r="E19" s="204" t="n">
        <v>45</v>
      </c>
      <c r="G19" s="204" t="n">
        <v>45</v>
      </c>
      <c r="I19" s="204">
        <f>E19</f>
        <v/>
      </c>
      <c r="K19" s="204">
        <f>G19</f>
        <v/>
      </c>
      <c r="M19" s="204">
        <f>I19</f>
        <v/>
      </c>
      <c r="O19" s="204">
        <f>K19</f>
        <v/>
      </c>
      <c r="Q19" s="204">
        <f>M19</f>
        <v/>
      </c>
      <c r="S19" s="204">
        <f>O19</f>
        <v/>
      </c>
      <c r="U19" s="204">
        <f>Q19</f>
        <v/>
      </c>
      <c r="W19" s="204">
        <f>S19</f>
        <v/>
      </c>
      <c r="Y19" s="204">
        <f>U19</f>
        <v/>
      </c>
      <c r="AA19" s="204">
        <f>W19</f>
        <v/>
      </c>
    </row>
    <row r="20" ht="15" customHeight="1" s="188">
      <c r="A20" s="187" t="n">
        <v>1</v>
      </c>
      <c r="B20" s="194" t="n"/>
      <c r="C20" s="203" t="n">
        <v>5</v>
      </c>
      <c r="D20" s="204" t="inlineStr">
        <is>
          <t>Syndicat</t>
        </is>
      </c>
      <c r="E20" s="204" t="n">
        <v>17</v>
      </c>
      <c r="G20" s="204" t="n">
        <v>17</v>
      </c>
      <c r="I20" s="204" t="n">
        <v>17</v>
      </c>
      <c r="K20" s="204" t="n">
        <v>17</v>
      </c>
      <c r="M20" s="204" t="n">
        <v>17</v>
      </c>
      <c r="O20" s="204" t="n">
        <v>17</v>
      </c>
      <c r="Q20" s="204" t="n">
        <v>17</v>
      </c>
      <c r="S20" s="204" t="n">
        <v>17</v>
      </c>
      <c r="U20" s="204" t="n">
        <v>17</v>
      </c>
      <c r="W20" s="204" t="n">
        <v>17</v>
      </c>
      <c r="Y20" s="204" t="n">
        <v>17</v>
      </c>
      <c r="AA20" s="204" t="n">
        <v>17</v>
      </c>
    </row>
    <row r="21" ht="15" customHeight="1" s="188">
      <c r="A21" s="187" t="n">
        <v>2</v>
      </c>
      <c r="B21" s="194" t="n"/>
      <c r="C21" s="203" t="n">
        <v>18</v>
      </c>
      <c r="D21" s="204" t="inlineStr">
        <is>
          <t>Banque</t>
        </is>
      </c>
      <c r="E21" s="204" t="n">
        <v>15</v>
      </c>
      <c r="G21" s="204" t="n">
        <v>15</v>
      </c>
      <c r="I21" s="204">
        <f>G21</f>
        <v/>
      </c>
      <c r="K21" s="204">
        <f>I21</f>
        <v/>
      </c>
      <c r="M21" s="204">
        <f>K21</f>
        <v/>
      </c>
      <c r="O21" s="204">
        <f>M21</f>
        <v/>
      </c>
      <c r="Q21" s="204">
        <f>O21</f>
        <v/>
      </c>
      <c r="S21" s="204">
        <f>Q21</f>
        <v/>
      </c>
      <c r="U21" s="204">
        <f>S21</f>
        <v/>
      </c>
      <c r="W21" s="204">
        <f>U21</f>
        <v/>
      </c>
      <c r="Y21" s="204">
        <f>W21</f>
        <v/>
      </c>
      <c r="AA21" s="204">
        <f>Y21</f>
        <v/>
      </c>
    </row>
    <row r="22" ht="15" customHeight="1" s="188">
      <c r="A22" s="187" t="n">
        <v>1</v>
      </c>
      <c r="B22" s="194" t="n"/>
      <c r="C22" s="203" t="n">
        <v>22</v>
      </c>
      <c r="D22" s="204" t="inlineStr">
        <is>
          <t>Box</t>
        </is>
      </c>
      <c r="E22" s="204" t="n">
        <v>24</v>
      </c>
      <c r="G22" s="204" t="n">
        <v>24</v>
      </c>
      <c r="I22" s="204">
        <f>G22</f>
        <v/>
      </c>
      <c r="K22" s="204">
        <f>I22</f>
        <v/>
      </c>
      <c r="M22" s="204">
        <f>K22</f>
        <v/>
      </c>
      <c r="O22" s="204">
        <f>M22</f>
        <v/>
      </c>
      <c r="Q22" s="204">
        <f>O22</f>
        <v/>
      </c>
      <c r="S22" s="204">
        <f>Q22</f>
        <v/>
      </c>
      <c r="U22" s="204">
        <f>S22</f>
        <v/>
      </c>
      <c r="W22" s="204">
        <f>U22</f>
        <v/>
      </c>
      <c r="Y22" s="204">
        <f>W22</f>
        <v/>
      </c>
      <c r="AA22" s="204">
        <f>Y22</f>
        <v/>
      </c>
    </row>
    <row r="23" ht="15" customHeight="1" s="188">
      <c r="A23" s="187" t="n">
        <v>2</v>
      </c>
      <c r="B23" s="201" t="n"/>
      <c r="C23" s="203" t="n">
        <v>17</v>
      </c>
      <c r="D23" s="204" t="inlineStr">
        <is>
          <t>tél portable</t>
        </is>
      </c>
      <c r="E23" s="204" t="n">
        <v>8</v>
      </c>
      <c r="G23" s="204" t="n">
        <v>8</v>
      </c>
      <c r="I23" s="204">
        <f>G23</f>
        <v/>
      </c>
      <c r="K23" s="204">
        <f>I23</f>
        <v/>
      </c>
      <c r="M23" s="204">
        <f>K23</f>
        <v/>
      </c>
      <c r="O23" s="204">
        <f>M23</f>
        <v/>
      </c>
      <c r="Q23" s="204">
        <f>O23</f>
        <v/>
      </c>
      <c r="S23" s="204">
        <f>Q23</f>
        <v/>
      </c>
      <c r="U23" s="204">
        <f>S23</f>
        <v/>
      </c>
      <c r="W23" s="204">
        <f>U23</f>
        <v/>
      </c>
      <c r="Y23" s="204">
        <f>W23</f>
        <v/>
      </c>
      <c r="AA23" s="204">
        <f>Y23</f>
        <v/>
      </c>
    </row>
    <row r="25" ht="15" customHeight="1" s="188">
      <c r="A25" s="187" t="n">
        <v>2</v>
      </c>
      <c r="B25" s="205" t="inlineStr">
        <is>
          <t>EPARGNE</t>
        </is>
      </c>
      <c r="C25" s="206" t="n"/>
      <c r="D25" s="207" t="inlineStr">
        <is>
          <t>Epargne Livret A</t>
        </is>
      </c>
      <c r="E25" s="207" t="n">
        <v>0</v>
      </c>
      <c r="G25" s="207" t="n">
        <v>0</v>
      </c>
      <c r="I25" s="207" t="n">
        <v>0</v>
      </c>
      <c r="K25" s="207" t="n">
        <v>0</v>
      </c>
      <c r="M25" s="207" t="n">
        <v>0</v>
      </c>
      <c r="O25" s="207" t="n">
        <v>0</v>
      </c>
      <c r="Q25" s="207" t="n">
        <v>0</v>
      </c>
      <c r="S25" s="207" t="n">
        <v>0</v>
      </c>
      <c r="U25" s="207" t="n">
        <v>0</v>
      </c>
      <c r="W25" s="207" t="n">
        <v>0</v>
      </c>
      <c r="Y25" s="207" t="n">
        <v>0</v>
      </c>
      <c r="AA25" s="207" t="n">
        <v>200</v>
      </c>
    </row>
    <row r="26" ht="15" customHeight="1" s="188">
      <c r="A26" s="187" t="n">
        <v>2</v>
      </c>
      <c r="B26" s="194" t="n"/>
      <c r="C26" s="206" t="n"/>
      <c r="D26" s="207" t="inlineStr">
        <is>
          <t>PEA</t>
        </is>
      </c>
      <c r="E26" s="207" t="n">
        <v>70</v>
      </c>
      <c r="G26" s="207" t="n">
        <v>70</v>
      </c>
      <c r="I26" s="207" t="n">
        <v>70</v>
      </c>
      <c r="K26" s="207" t="n">
        <v>70</v>
      </c>
      <c r="M26" s="207" t="n">
        <v>70</v>
      </c>
      <c r="O26" s="207" t="n">
        <v>70</v>
      </c>
      <c r="Q26" s="207" t="n">
        <v>70</v>
      </c>
      <c r="S26" s="207" t="n">
        <v>70</v>
      </c>
      <c r="U26" s="207" t="n">
        <v>70</v>
      </c>
      <c r="W26" s="207" t="n">
        <v>70</v>
      </c>
      <c r="Y26" s="207" t="n">
        <v>70</v>
      </c>
      <c r="Z26" s="208" t="n"/>
      <c r="AA26" s="207" t="n">
        <v>70</v>
      </c>
    </row>
    <row r="27" ht="15" customHeight="1" s="188">
      <c r="A27" s="187" t="n">
        <v>1</v>
      </c>
      <c r="B27" s="194" t="n"/>
      <c r="C27" s="206" t="n"/>
      <c r="D27" s="207" t="inlineStr">
        <is>
          <t>Boursorama</t>
        </is>
      </c>
      <c r="E27" s="207" t="n">
        <v>50</v>
      </c>
      <c r="G27" s="207" t="n">
        <v>50</v>
      </c>
      <c r="I27" s="207" t="n">
        <v>50</v>
      </c>
      <c r="K27" s="207" t="n">
        <v>50</v>
      </c>
      <c r="M27" s="207" t="n">
        <v>50</v>
      </c>
      <c r="O27" s="207" t="n">
        <v>35</v>
      </c>
      <c r="Q27" s="207" t="n">
        <v>35</v>
      </c>
      <c r="S27" s="207" t="n">
        <v>35</v>
      </c>
      <c r="U27" s="207" t="n">
        <v>35</v>
      </c>
      <c r="W27" s="207" t="n">
        <v>35</v>
      </c>
      <c r="Y27" s="207" t="n">
        <v>35</v>
      </c>
      <c r="AA27" s="207" t="n">
        <v>35</v>
      </c>
    </row>
    <row r="28" ht="15" customHeight="1" s="188">
      <c r="A28" s="187" t="n">
        <v>1</v>
      </c>
      <c r="B28" s="194" t="n"/>
      <c r="C28" s="206" t="n">
        <v>8</v>
      </c>
      <c r="D28" s="207" t="inlineStr">
        <is>
          <t>Trad212</t>
        </is>
      </c>
      <c r="E28" s="207" t="n">
        <v>15</v>
      </c>
      <c r="G28" s="207" t="n">
        <v>20</v>
      </c>
      <c r="I28" s="207" t="n">
        <v>20</v>
      </c>
      <c r="K28" s="207" t="n">
        <v>20</v>
      </c>
      <c r="M28" s="207" t="n">
        <v>20</v>
      </c>
      <c r="O28" s="207" t="n">
        <v>20</v>
      </c>
      <c r="Q28" s="207" t="n">
        <v>20</v>
      </c>
      <c r="S28" s="207" t="n">
        <v>55</v>
      </c>
      <c r="U28" s="207" t="n">
        <v>20</v>
      </c>
      <c r="W28" s="207" t="n">
        <v>20</v>
      </c>
      <c r="Y28" s="207" t="n">
        <v>20</v>
      </c>
      <c r="AA28" s="207" t="n">
        <v>20</v>
      </c>
    </row>
    <row r="29" ht="15" customHeight="1" s="188">
      <c r="A29" s="187" t="n">
        <v>1</v>
      </c>
      <c r="B29" s="201" t="n"/>
      <c r="C29" s="206" t="n"/>
      <c r="D29" s="207" t="inlineStr">
        <is>
          <t>Casden</t>
        </is>
      </c>
      <c r="E29" s="207" t="n">
        <v>250</v>
      </c>
      <c r="G29" s="207">
        <f>E29</f>
        <v/>
      </c>
      <c r="I29" s="207">
        <f>E29</f>
        <v/>
      </c>
      <c r="K29" s="207">
        <f>E29</f>
        <v/>
      </c>
      <c r="M29" s="207">
        <f>E29</f>
        <v/>
      </c>
      <c r="O29" s="207">
        <f>G29</f>
        <v/>
      </c>
      <c r="Q29" s="207">
        <f>I29</f>
        <v/>
      </c>
      <c r="S29" s="207">
        <f>K29</f>
        <v/>
      </c>
      <c r="U29" s="207">
        <f>M29</f>
        <v/>
      </c>
      <c r="W29" s="207">
        <f>O29</f>
        <v/>
      </c>
      <c r="Y29" s="207">
        <f>Q29</f>
        <v/>
      </c>
      <c r="AA29" s="207">
        <f>S29</f>
        <v/>
      </c>
    </row>
    <row r="31" ht="15" customHeight="1" s="188">
      <c r="A31" s="187" t="n">
        <v>2</v>
      </c>
      <c r="B31" s="209" t="inlineStr">
        <is>
          <t>DIVERS</t>
        </is>
      </c>
      <c r="C31" s="210" t="n"/>
      <c r="D31" s="211" t="inlineStr">
        <is>
          <t>Chauffage</t>
        </is>
      </c>
      <c r="E31" s="212" t="n">
        <v>0</v>
      </c>
      <c r="G31" s="212" t="n">
        <v>0</v>
      </c>
      <c r="H31" s="208" t="n"/>
      <c r="I31" s="212" t="n">
        <v>0</v>
      </c>
      <c r="K31" s="212" t="n">
        <v>0</v>
      </c>
      <c r="M31" s="212" t="n">
        <v>0</v>
      </c>
      <c r="O31" s="212" t="n">
        <v>0</v>
      </c>
      <c r="Q31" s="212" t="n">
        <v>0</v>
      </c>
      <c r="S31" s="212" t="n">
        <v>0</v>
      </c>
      <c r="U31" s="212" t="n">
        <v>0</v>
      </c>
      <c r="W31" s="212" t="n">
        <v>0</v>
      </c>
      <c r="Y31" s="212" t="n">
        <v>0</v>
      </c>
      <c r="AA31" s="212" t="n">
        <v>0</v>
      </c>
    </row>
    <row r="32" ht="15" customHeight="1" s="188">
      <c r="A32" s="187" t="n">
        <v>2</v>
      </c>
      <c r="B32" s="194" t="n"/>
      <c r="C32" s="210" t="n"/>
      <c r="D32" s="211" t="inlineStr">
        <is>
          <t>Ordure Ménageres</t>
        </is>
      </c>
      <c r="E32" s="212" t="n">
        <v>0</v>
      </c>
      <c r="G32" s="212" t="n">
        <v>156</v>
      </c>
      <c r="H32" s="208" t="n"/>
      <c r="I32" s="212" t="n">
        <v>0</v>
      </c>
      <c r="K32" s="212" t="n">
        <v>0</v>
      </c>
      <c r="M32" s="212" t="n">
        <v>0</v>
      </c>
      <c r="O32" s="212" t="n">
        <v>0</v>
      </c>
      <c r="Q32" s="212" t="n">
        <v>0</v>
      </c>
      <c r="S32" s="212" t="n">
        <v>160</v>
      </c>
      <c r="U32" s="212" t="n">
        <v>0</v>
      </c>
      <c r="W32" s="212" t="n">
        <v>0</v>
      </c>
      <c r="Y32" s="212" t="n">
        <v>0</v>
      </c>
      <c r="AA32" s="212" t="n">
        <v>0</v>
      </c>
    </row>
    <row r="33" ht="15" customHeight="1" s="188">
      <c r="A33" s="187" t="n">
        <v>1</v>
      </c>
      <c r="B33" s="194" t="n"/>
      <c r="C33" s="213" t="n"/>
      <c r="D33" s="211" t="inlineStr">
        <is>
          <t>Assurance habitation</t>
        </is>
      </c>
      <c r="E33" s="212" t="n">
        <v>0</v>
      </c>
      <c r="G33" s="212" t="n">
        <v>0</v>
      </c>
      <c r="I33" s="212" t="n">
        <v>240</v>
      </c>
      <c r="K33" s="212" t="n">
        <v>0</v>
      </c>
      <c r="M33" s="212" t="n">
        <v>0</v>
      </c>
      <c r="O33" s="212" t="n">
        <v>0</v>
      </c>
      <c r="Q33" s="212" t="n">
        <v>0</v>
      </c>
      <c r="S33" s="212" t="n">
        <v>0</v>
      </c>
      <c r="U33" s="212" t="n">
        <v>0</v>
      </c>
      <c r="W33" s="212" t="n">
        <v>0</v>
      </c>
      <c r="Y33" s="212" t="n">
        <v>0</v>
      </c>
      <c r="AA33" s="212" t="n">
        <v>0</v>
      </c>
    </row>
    <row r="34" ht="15" customHeight="1" s="188">
      <c r="A34" s="187" t="n">
        <v>1</v>
      </c>
      <c r="B34" s="194" t="n"/>
      <c r="C34" s="213" t="n"/>
      <c r="D34" s="212" t="inlineStr">
        <is>
          <t>cantine</t>
        </is>
      </c>
      <c r="O34" s="212" t="n">
        <v>0</v>
      </c>
      <c r="Q34" s="212" t="n">
        <v>0</v>
      </c>
      <c r="S34" s="212" t="n">
        <v>40</v>
      </c>
      <c r="U34" s="212" t="n">
        <v>0</v>
      </c>
      <c r="W34" s="212" t="n">
        <v>0</v>
      </c>
      <c r="Y34" s="212" t="n">
        <v>0</v>
      </c>
      <c r="AA34" s="212" t="n">
        <v>0</v>
      </c>
    </row>
    <row r="35" ht="21" customHeight="1" s="188">
      <c r="A35" s="187" t="n">
        <v>2</v>
      </c>
      <c r="B35" s="201" t="n"/>
      <c r="C35" s="213" t="n"/>
      <c r="D35" s="212" t="inlineStr">
        <is>
          <t>autres</t>
        </is>
      </c>
      <c r="S35" s="212" t="n">
        <v>50</v>
      </c>
      <c r="Y35" s="212" t="n">
        <v>0</v>
      </c>
      <c r="AA35" s="212" t="n">
        <v>0</v>
      </c>
    </row>
    <row r="37" ht="15" customHeight="1" s="188">
      <c r="A37" s="187" t="n">
        <v>1</v>
      </c>
      <c r="D37" s="215" t="inlineStr">
        <is>
          <t>nourriture</t>
        </is>
      </c>
      <c r="E37" s="215" t="n">
        <v>100</v>
      </c>
      <c r="G37" s="215" t="n">
        <v>125</v>
      </c>
      <c r="I37" s="215" t="n">
        <v>125</v>
      </c>
      <c r="K37" s="215" t="n">
        <v>125</v>
      </c>
      <c r="M37" s="215" t="n">
        <v>125</v>
      </c>
      <c r="O37" s="215" t="n">
        <v>125</v>
      </c>
      <c r="Q37" s="215" t="n">
        <v>125</v>
      </c>
      <c r="S37" s="215" t="n">
        <v>125</v>
      </c>
      <c r="U37" s="215" t="n">
        <v>125</v>
      </c>
      <c r="W37" s="215" t="n">
        <v>125</v>
      </c>
      <c r="Y37" s="215" t="n">
        <v>125</v>
      </c>
      <c r="AA37" s="215" t="n">
        <v>125</v>
      </c>
    </row>
    <row r="38" ht="15" customHeight="1" s="188">
      <c r="A38" s="187" t="n">
        <v>2</v>
      </c>
      <c r="D38" s="215" t="inlineStr">
        <is>
          <t>nourriture</t>
        </is>
      </c>
      <c r="E38" s="216" t="n">
        <v>140</v>
      </c>
      <c r="G38" s="216" t="n">
        <v>125</v>
      </c>
      <c r="I38" s="216" t="n">
        <v>125</v>
      </c>
      <c r="K38" s="216" t="n">
        <v>125</v>
      </c>
      <c r="M38" s="216" t="n">
        <v>125</v>
      </c>
      <c r="O38" s="216" t="n">
        <v>125</v>
      </c>
      <c r="Q38" s="216" t="n">
        <v>125</v>
      </c>
      <c r="S38" s="216" t="n">
        <v>125</v>
      </c>
      <c r="U38" s="216" t="n">
        <v>125</v>
      </c>
      <c r="W38" s="216" t="n">
        <v>125</v>
      </c>
      <c r="Y38" s="216" t="n">
        <v>125</v>
      </c>
      <c r="AA38" s="216" t="n">
        <v>125</v>
      </c>
    </row>
    <row r="39" ht="15" customHeight="1" s="188">
      <c r="E39" s="217" t="n"/>
      <c r="G39" s="217" t="n"/>
      <c r="I39" s="217" t="n"/>
      <c r="K39" s="217" t="n"/>
      <c r="M39" s="217" t="n"/>
      <c r="O39" s="217" t="n"/>
      <c r="Q39" s="217" t="n"/>
      <c r="S39" s="217" t="n"/>
      <c r="U39" s="217" t="n"/>
      <c r="W39" s="217" t="n"/>
      <c r="Y39" s="217" t="n"/>
      <c r="AA39" s="217" t="n"/>
    </row>
    <row r="40" ht="15" customHeight="1" s="188">
      <c r="D40" s="203" t="inlineStr">
        <is>
          <t>1er + 2eme</t>
        </is>
      </c>
      <c r="E40" s="217">
        <f>SUM(E8:E39)</f>
        <v/>
      </c>
      <c r="G40" s="217">
        <f>SUM(G8:G39)</f>
        <v/>
      </c>
      <c r="I40" s="217">
        <f>SUM(I8:I39)</f>
        <v/>
      </c>
      <c r="K40" s="217">
        <f>SUM(K8:K39)</f>
        <v/>
      </c>
      <c r="M40" s="217">
        <f>SUM(M8:M39)</f>
        <v/>
      </c>
      <c r="O40" s="217">
        <f>SUM(O8:O39)</f>
        <v/>
      </c>
      <c r="Q40" s="217">
        <f>SUM(Q8:Q39)</f>
        <v/>
      </c>
      <c r="S40" s="217">
        <f>SUM(S8:S39)</f>
        <v/>
      </c>
      <c r="U40" s="217">
        <f>SUM(U8:U39)</f>
        <v/>
      </c>
      <c r="W40" s="217">
        <f>SUM(W8:W39)</f>
        <v/>
      </c>
      <c r="Y40" s="217">
        <f>SUM(Y8:Y39)</f>
        <v/>
      </c>
      <c r="AA40" s="217">
        <f>SUM(AA8:AA39)</f>
        <v/>
      </c>
    </row>
    <row r="41" ht="15" customHeight="1" s="188">
      <c r="D41" s="203" t="inlineStr">
        <is>
          <t>1er quizaine</t>
        </is>
      </c>
      <c r="E41" s="217">
        <f>SUMIF($A$8:$A$35,"=1",E8:E35)</f>
        <v/>
      </c>
      <c r="G41" s="217">
        <f>SUMIF($A$8:$A$39,"=1",G8:G39)</f>
        <v/>
      </c>
      <c r="I41" s="217">
        <f>SUMIF($A$8:$A$35,"=1",I8:I35)</f>
        <v/>
      </c>
      <c r="K41" s="217">
        <f>SUMIF($A$8:$A$39,"=1",K8:K39)</f>
        <v/>
      </c>
      <c r="M41" s="217">
        <f>SUMIF($A$8:$A$39,"=1",M8:M39)</f>
        <v/>
      </c>
      <c r="O41" s="217">
        <f>SUMIF($A$8:$A$39,"=1",O8:O39)</f>
        <v/>
      </c>
      <c r="Q41" s="217">
        <f>SUMIF($A$8:$A$39,"=1",Q8:Q39)</f>
        <v/>
      </c>
      <c r="S41" s="217">
        <f>SUMIF($A$8:$A$39,"=1",S8:S39)</f>
        <v/>
      </c>
      <c r="U41" s="217">
        <f>SUMIF($A$8:$A$39,"=1",U8:U39)</f>
        <v/>
      </c>
      <c r="W41" s="217">
        <f>SUMIF($A$8:$A$39,"=1",W8:W39)</f>
        <v/>
      </c>
      <c r="Y41" s="217">
        <f>SUMIF($A$8:$A$39,"=1",Y8:Y39)</f>
        <v/>
      </c>
      <c r="AA41" s="217">
        <f>SUMIF($A$8:$A$39,"=1",AA8:AA39)</f>
        <v/>
      </c>
    </row>
    <row r="42" ht="15" customHeight="1" s="188">
      <c r="D42" s="203" t="inlineStr">
        <is>
          <t>2eme quinzaine</t>
        </is>
      </c>
      <c r="E42" s="217">
        <f>SUMIF($A$8:$A$35,"=2",E8:E35)</f>
        <v/>
      </c>
      <c r="G42" s="217">
        <f>SUMIF($A$8:$A$39,"=2",G8:G39)</f>
        <v/>
      </c>
      <c r="I42" s="217">
        <f>SUMIF($A$8:$A$35,"=2",I8:I35)</f>
        <v/>
      </c>
      <c r="K42" s="217">
        <f>SUMIF($A$8:$A$39,"=2",K8:K39)</f>
        <v/>
      </c>
      <c r="M42" s="217">
        <f>SUMIF($A$8:$A$39,"=2",M8:M39)</f>
        <v/>
      </c>
      <c r="O42" s="217">
        <f>SUMIF($A$8:$A$39,"=2",O8:O39)</f>
        <v/>
      </c>
      <c r="Q42" s="217">
        <f>SUMIF($A$8:$A$39,"=2",Q8:Q39)</f>
        <v/>
      </c>
      <c r="S42" s="217">
        <f>SUMIF($A$8:$A$39,"=2",S8:S39)</f>
        <v/>
      </c>
      <c r="U42" s="217">
        <f>SUMIF($A$8:$A$39,"=2",U8:U39)</f>
        <v/>
      </c>
      <c r="W42" s="217">
        <f>SUMIF($A$8:$A$39,"=2",W8:W39)</f>
        <v/>
      </c>
      <c r="Y42" s="217">
        <f>SUMIF($A$8:$A$39,"=2",Y8:Y39)</f>
        <v/>
      </c>
      <c r="AA42" s="217">
        <f>SUMIF($A$8:$A$39,"=2",AA8:AA39)</f>
        <v/>
      </c>
    </row>
    <row r="43" ht="15" customHeight="1" s="188">
      <c r="D43" s="203" t="inlineStr">
        <is>
          <t>Reste</t>
        </is>
      </c>
      <c r="E43" s="218">
        <f>$B$5-E40</f>
        <v/>
      </c>
      <c r="G43" s="218">
        <f>$B$5-G40</f>
        <v/>
      </c>
      <c r="I43" s="218">
        <f>$B$5-I40</f>
        <v/>
      </c>
      <c r="K43" s="218">
        <f>$B$5-K40</f>
        <v/>
      </c>
      <c r="M43" s="218">
        <f>$B$5-M40</f>
        <v/>
      </c>
      <c r="O43" s="218">
        <f>$B$5-O40</f>
        <v/>
      </c>
      <c r="Q43" s="218">
        <f>$B$5-Q40</f>
        <v/>
      </c>
      <c r="S43" s="218">
        <f>$B$5-S40</f>
        <v/>
      </c>
      <c r="U43" s="218">
        <f>$B$5-U40</f>
        <v/>
      </c>
      <c r="W43" s="218">
        <f>$B$5-W40</f>
        <v/>
      </c>
      <c r="Y43" s="218">
        <f>$B$5-Y40</f>
        <v/>
      </c>
      <c r="AA43" s="218">
        <f>$B$5-AA40</f>
        <v/>
      </c>
    </row>
    <row r="44" ht="15" customHeight="1" s="188">
      <c r="G44" s="219" t="n"/>
    </row>
  </sheetData>
  <mergeCells count="4">
    <mergeCell ref="B31:B35"/>
    <mergeCell ref="B25:B29"/>
    <mergeCell ref="B8:B15"/>
    <mergeCell ref="B17:B23"/>
  </mergeCells>
  <conditionalFormatting sqref="A22">
    <cfRule type="cellIs" rank="0" priority="2" equalAverage="0" operator="equal" aboveAverage="0" dxfId="0" text="" percent="0" bottom="0">
      <formula>1</formula>
    </cfRule>
  </conditionalFormatting>
  <conditionalFormatting sqref="A35">
    <cfRule type="cellIs" rank="0" priority="3" equalAverage="0" operator="equal" aboveAverage="0" dxfId="1" text="" percent="0" bottom="0">
      <formula>2</formula>
    </cfRule>
  </conditionalFormatting>
  <conditionalFormatting sqref="A32">
    <cfRule type="cellIs" rank="0" priority="4" equalAverage="0" operator="equal" aboveAverage="0" dxfId="1" text="" percent="0" bottom="0">
      <formula>2</formula>
    </cfRule>
  </conditionalFormatting>
  <conditionalFormatting sqref="A33">
    <cfRule type="cellIs" rank="0" priority="5" equalAverage="0" operator="equal" aboveAverage="0" dxfId="0" text="" percent="0" bottom="0">
      <formula>1</formula>
    </cfRule>
  </conditionalFormatting>
  <conditionalFormatting sqref="A27">
    <cfRule type="cellIs" rank="0" priority="6" equalAverage="0" operator="equal" aboveAverage="0" dxfId="0" text="" percent="0" bottom="0">
      <formula>1</formula>
    </cfRule>
  </conditionalFormatting>
  <conditionalFormatting sqref="A38">
    <cfRule type="cellIs" rank="0" priority="7" equalAverage="0" operator="equal" aboveAverage="0" dxfId="1" text="" percent="0" bottom="0">
      <formula>2</formula>
    </cfRule>
  </conditionalFormatting>
  <conditionalFormatting sqref="A28">
    <cfRule type="cellIs" rank="0" priority="8" equalAverage="0" operator="equal" aboveAverage="0" dxfId="0" text="" percent="0" bottom="0">
      <formula>1</formula>
    </cfRule>
  </conditionalFormatting>
  <conditionalFormatting sqref="A31">
    <cfRule type="cellIs" rank="0" priority="9" equalAverage="0" operator="equal" aboveAverage="0" dxfId="1" text="" percent="0" bottom="0">
      <formula>2</formula>
    </cfRule>
  </conditionalFormatting>
  <conditionalFormatting sqref="A14:A15 A17">
    <cfRule type="cellIs" rank="0" priority="10" equalAverage="0" operator="equal" aboveAverage="0" dxfId="1" text="" percent="0" bottom="0">
      <formula>2</formula>
    </cfRule>
  </conditionalFormatting>
  <conditionalFormatting sqref="A21 A23:A26">
    <cfRule type="cellIs" rank="0" priority="11" equalAverage="0" operator="equal" aboveAverage="0" dxfId="1" text="" percent="0" bottom="0">
      <formula>2</formula>
    </cfRule>
  </conditionalFormatting>
  <conditionalFormatting sqref="A9">
    <cfRule type="cellIs" rank="0" priority="12" equalAverage="0" operator="equal" aboveAverage="0" dxfId="1" text="" percent="0" bottom="0">
      <formula>2</formula>
    </cfRule>
  </conditionalFormatting>
  <conditionalFormatting sqref="A37">
    <cfRule type="cellIs" rank="0" priority="13" equalAverage="0" operator="equal" aboveAverage="0" dxfId="0" text="" percent="0" bottom="0">
      <formula>1</formula>
    </cfRule>
  </conditionalFormatting>
  <conditionalFormatting sqref="A29">
    <cfRule type="cellIs" rank="0" priority="14" equalAverage="0" operator="equal" aboveAverage="0" dxfId="0" text="" percent="0" bottom="0">
      <formula>1</formula>
    </cfRule>
  </conditionalFormatting>
  <conditionalFormatting sqref="A20">
    <cfRule type="cellIs" rank="0" priority="15" equalAverage="0" operator="equal" aboveAverage="0" dxfId="0" text="" percent="0" bottom="0">
      <formula>1</formula>
    </cfRule>
  </conditionalFormatting>
  <conditionalFormatting sqref="A19">
    <cfRule type="cellIs" rank="0" priority="16" equalAverage="0" operator="equal" aboveAverage="0" dxfId="0" text="" percent="0" bottom="0">
      <formula>1</formula>
    </cfRule>
  </conditionalFormatting>
  <conditionalFormatting sqref="A18">
    <cfRule type="cellIs" rank="0" priority="17" equalAverage="0" operator="equal" aboveAverage="0" dxfId="0" text="" percent="0" bottom="0">
      <formula>1</formula>
    </cfRule>
  </conditionalFormatting>
  <conditionalFormatting sqref="A13">
    <cfRule type="cellIs" rank="0" priority="18" equalAverage="0" operator="equal" aboveAverage="0" dxfId="0" text="" percent="0" bottom="0">
      <formula>1</formula>
    </cfRule>
  </conditionalFormatting>
  <conditionalFormatting sqref="A12">
    <cfRule type="cellIs" rank="0" priority="19" equalAverage="0" operator="equal" aboveAverage="0" dxfId="0" text="" percent="0" bottom="0">
      <formula>1</formula>
    </cfRule>
  </conditionalFormatting>
  <conditionalFormatting sqref="A10">
    <cfRule type="cellIs" rank="0" priority="20" equalAverage="0" operator="equal" aboveAverage="0" dxfId="0" text="" percent="0" bottom="0">
      <formula>1</formula>
    </cfRule>
  </conditionalFormatting>
  <conditionalFormatting sqref="A8">
    <cfRule type="cellIs" rank="0" priority="21" equalAverage="0" operator="equal" aboveAverage="0" dxfId="1" text="" percent="0" bottom="0">
      <formula>2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5:AA45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B5" activeCellId="0" sqref="B5"/>
    </sheetView>
  </sheetViews>
  <sheetFormatPr baseColWidth="8" defaultColWidth="9.1484375" defaultRowHeight="15" zeroHeight="0" outlineLevelRow="0"/>
  <cols>
    <col width="7" customWidth="1" style="187" min="1" max="1"/>
    <col width="5" customWidth="1" style="187" min="2" max="2"/>
    <col width="19.71" customWidth="1" style="187" min="4" max="4"/>
    <col width="9.42" customWidth="1" style="187" min="5" max="5"/>
    <col width="8.859999999999999" customWidth="1" style="187" min="6" max="6"/>
    <col width="9.42" customWidth="1" style="187" min="7" max="7"/>
    <col width="9.42" customWidth="1" style="187" min="9" max="9"/>
    <col width="4" customWidth="1" style="187" min="10" max="10"/>
    <col width="9.42" customWidth="1" style="187" min="11" max="11"/>
    <col width="4.29" customWidth="1" style="187" min="14" max="14"/>
    <col width="9.42" customWidth="1" style="187" min="15" max="15"/>
    <col width="4" customWidth="1" style="187" min="16" max="16"/>
    <col width="5.71" customWidth="1" style="187" min="18" max="18"/>
    <col width="10.85" customWidth="1" style="187" min="21" max="21"/>
    <col width="10.14" customWidth="1" style="187" min="27" max="27"/>
  </cols>
  <sheetData>
    <row r="5" ht="15" customHeight="1" s="188">
      <c r="A5" s="187" t="inlineStr">
        <is>
          <t>Salaire</t>
        </is>
      </c>
      <c r="B5" s="187" t="n">
        <v>2430</v>
      </c>
    </row>
    <row r="6" ht="15" customHeight="1" s="188">
      <c r="E6" s="189" t="inlineStr">
        <is>
          <t>Janvier</t>
        </is>
      </c>
      <c r="G6" s="189" t="inlineStr">
        <is>
          <t>Février</t>
        </is>
      </c>
      <c r="I6" s="189" t="inlineStr">
        <is>
          <t>Mars</t>
        </is>
      </c>
      <c r="K6" s="189" t="inlineStr">
        <is>
          <t>Avril</t>
        </is>
      </c>
      <c r="M6" s="189" t="inlineStr">
        <is>
          <t>Mai</t>
        </is>
      </c>
      <c r="O6" s="189" t="inlineStr">
        <is>
          <t>Juin</t>
        </is>
      </c>
      <c r="Q6" s="189" t="inlineStr">
        <is>
          <t>Juillet</t>
        </is>
      </c>
      <c r="S6" s="189" t="inlineStr">
        <is>
          <t>Aout</t>
        </is>
      </c>
      <c r="U6" s="189" t="inlineStr">
        <is>
          <t>Septembre</t>
        </is>
      </c>
      <c r="W6" s="189" t="inlineStr">
        <is>
          <t>Octobre</t>
        </is>
      </c>
      <c r="Y6" s="189" t="inlineStr">
        <is>
          <t>Novembre</t>
        </is>
      </c>
      <c r="AA6" s="189" t="inlineStr">
        <is>
          <t>Décembre</t>
        </is>
      </c>
    </row>
    <row r="8" ht="15" customHeight="1" s="188">
      <c r="A8" s="187" t="n">
        <v>2</v>
      </c>
      <c r="B8" s="202" t="inlineStr">
        <is>
          <t>APPARTS</t>
        </is>
      </c>
      <c r="C8" s="191" t="inlineStr">
        <is>
          <t>Date jour</t>
        </is>
      </c>
      <c r="D8" s="192" t="inlineStr">
        <is>
          <t>Prêt App1</t>
        </is>
      </c>
      <c r="E8" s="193" t="n">
        <v>248</v>
      </c>
      <c r="G8" s="193" t="n">
        <v>248</v>
      </c>
      <c r="I8" s="193" t="n">
        <v>248</v>
      </c>
      <c r="K8" s="193" t="n">
        <v>248</v>
      </c>
      <c r="M8" s="193" t="n">
        <v>248</v>
      </c>
      <c r="O8" s="193" t="n">
        <v>248</v>
      </c>
      <c r="Q8" s="193" t="n">
        <v>248</v>
      </c>
      <c r="S8" s="193" t="n">
        <v>248</v>
      </c>
      <c r="U8" s="193" t="n">
        <v>248</v>
      </c>
      <c r="W8" s="193" t="n">
        <v>248</v>
      </c>
      <c r="Y8" s="193" t="n">
        <v>248</v>
      </c>
      <c r="AA8" s="193" t="n">
        <v>248</v>
      </c>
    </row>
    <row r="9" ht="15" customHeight="1" s="188">
      <c r="A9" s="187" t="n">
        <v>2</v>
      </c>
      <c r="B9" s="194" t="n"/>
      <c r="C9" s="191" t="n"/>
      <c r="D9" s="192" t="inlineStr">
        <is>
          <t>Charge App1</t>
        </is>
      </c>
      <c r="E9" s="195" t="n">
        <v>0</v>
      </c>
      <c r="G9" s="195" t="n">
        <v>0</v>
      </c>
      <c r="I9" s="195" t="n">
        <v>0</v>
      </c>
      <c r="J9" s="187">
        <f>176*2</f>
        <v/>
      </c>
      <c r="K9" s="195" t="n">
        <v>0</v>
      </c>
      <c r="M9" s="195" t="n">
        <v>0</v>
      </c>
      <c r="O9" s="195" t="n">
        <v>176</v>
      </c>
      <c r="P9" s="187">
        <f>176*3</f>
        <v/>
      </c>
      <c r="Q9" s="195">
        <f>176.61*3+240+176.61*2</f>
        <v/>
      </c>
      <c r="S9" s="195" t="n">
        <v>0</v>
      </c>
      <c r="U9" s="195" t="n">
        <v>176</v>
      </c>
      <c r="W9" s="195" t="n">
        <v>0</v>
      </c>
      <c r="Y9" s="195" t="n">
        <v>0</v>
      </c>
      <c r="AA9" s="195" t="n">
        <v>176</v>
      </c>
    </row>
    <row r="10" ht="15" customHeight="1" s="188">
      <c r="A10" s="187" t="n">
        <v>2</v>
      </c>
      <c r="B10" s="194" t="n"/>
      <c r="C10" s="191" t="n">
        <v>16</v>
      </c>
      <c r="D10" s="192" t="inlineStr">
        <is>
          <t xml:space="preserve">Taxe Fonc App1 </t>
        </is>
      </c>
      <c r="E10" s="193" t="n">
        <v>75</v>
      </c>
      <c r="G10" s="193" t="n">
        <v>75</v>
      </c>
      <c r="I10" s="193" t="n">
        <v>75</v>
      </c>
      <c r="K10" s="193" t="n">
        <v>75</v>
      </c>
      <c r="M10" s="193" t="n">
        <v>75</v>
      </c>
      <c r="O10" s="193" t="n">
        <v>75</v>
      </c>
      <c r="Q10" s="193" t="n">
        <v>75</v>
      </c>
      <c r="S10" s="193" t="n">
        <v>75</v>
      </c>
      <c r="U10" s="193" t="n">
        <v>75</v>
      </c>
      <c r="W10" s="193" t="n">
        <v>75</v>
      </c>
      <c r="Y10" s="193" t="n">
        <v>75</v>
      </c>
      <c r="AA10" s="193" t="n">
        <v>75</v>
      </c>
    </row>
    <row r="11" ht="15" customHeight="1" s="188">
      <c r="B11" s="194" t="n"/>
    </row>
    <row r="12" ht="15" customHeight="1" s="188">
      <c r="A12" s="187" t="n">
        <v>1</v>
      </c>
      <c r="B12" s="194" t="n"/>
      <c r="C12" s="191" t="n">
        <v>6</v>
      </c>
      <c r="D12" s="196" t="inlineStr">
        <is>
          <t>Prêt App2</t>
        </is>
      </c>
      <c r="E12" s="197" t="n">
        <v>401</v>
      </c>
      <c r="G12" s="197" t="n">
        <v>401</v>
      </c>
      <c r="I12" s="197" t="n">
        <v>401</v>
      </c>
      <c r="K12" s="197" t="n">
        <v>401</v>
      </c>
      <c r="M12" s="197" t="n">
        <v>364</v>
      </c>
      <c r="O12" s="197" t="n">
        <v>364</v>
      </c>
      <c r="Q12" s="197" t="n">
        <v>365</v>
      </c>
      <c r="S12" s="197" t="n">
        <v>365</v>
      </c>
      <c r="U12" s="197" t="n">
        <v>365</v>
      </c>
      <c r="W12" s="197" t="n">
        <v>365</v>
      </c>
      <c r="Y12" s="197" t="n">
        <v>365</v>
      </c>
      <c r="AA12" s="197" t="n">
        <v>365</v>
      </c>
    </row>
    <row r="13" ht="15" customHeight="1" s="188">
      <c r="A13" s="187" t="n">
        <v>1</v>
      </c>
      <c r="B13" s="194" t="n"/>
      <c r="C13" s="191" t="n"/>
      <c r="D13" s="196" t="inlineStr">
        <is>
          <t>Assurance</t>
        </is>
      </c>
      <c r="E13" s="197" t="n">
        <v>0</v>
      </c>
      <c r="G13" s="197" t="n">
        <v>0</v>
      </c>
      <c r="I13" s="197" t="n">
        <v>172</v>
      </c>
      <c r="K13" s="197" t="n">
        <v>0</v>
      </c>
      <c r="M13" s="197" t="n">
        <v>0</v>
      </c>
      <c r="O13" s="197" t="n">
        <v>104</v>
      </c>
      <c r="Q13" s="197" t="n">
        <v>0</v>
      </c>
      <c r="S13" s="197" t="n">
        <v>0</v>
      </c>
      <c r="U13" s="197" t="n">
        <v>100</v>
      </c>
      <c r="W13" s="197" t="n">
        <v>0</v>
      </c>
      <c r="Y13" s="197" t="n">
        <v>0</v>
      </c>
      <c r="AA13" s="197" t="n">
        <v>100</v>
      </c>
    </row>
    <row r="14" ht="15" customHeight="1" s="188">
      <c r="A14" s="187" t="n">
        <v>2</v>
      </c>
      <c r="B14" s="194" t="n"/>
      <c r="C14" s="191" t="n"/>
      <c r="D14" s="196" t="inlineStr">
        <is>
          <t>Charge App2</t>
        </is>
      </c>
      <c r="E14" s="198" t="n">
        <v>350</v>
      </c>
      <c r="G14" s="198" t="n">
        <v>0</v>
      </c>
      <c r="I14" s="198" t="n">
        <v>257</v>
      </c>
      <c r="K14" s="198" t="n">
        <v>0</v>
      </c>
      <c r="M14" s="198" t="n">
        <v>0</v>
      </c>
      <c r="O14" s="198" t="n">
        <v>257</v>
      </c>
      <c r="Q14" s="198" t="n">
        <v>0</v>
      </c>
      <c r="S14" s="198" t="n">
        <v>0</v>
      </c>
      <c r="U14" s="198" t="n">
        <v>257</v>
      </c>
      <c r="W14" s="198" t="n">
        <v>148</v>
      </c>
      <c r="Y14" s="198" t="n">
        <v>148</v>
      </c>
      <c r="AA14" s="198" t="n">
        <v>257</v>
      </c>
    </row>
    <row r="15" ht="15" customHeight="1" s="188">
      <c r="A15" s="187" t="n">
        <v>2</v>
      </c>
      <c r="B15" s="201" t="n"/>
      <c r="C15" s="191" t="n"/>
      <c r="D15" s="196" t="inlineStr">
        <is>
          <t>Taxe Fonc App2</t>
        </is>
      </c>
      <c r="E15" s="197" t="n">
        <v>0</v>
      </c>
      <c r="G15" s="197" t="n">
        <v>0</v>
      </c>
      <c r="I15" s="197" t="n">
        <v>0</v>
      </c>
      <c r="K15" s="197" t="n">
        <v>0</v>
      </c>
      <c r="M15" s="197" t="n">
        <v>0</v>
      </c>
      <c r="O15" s="197" t="n">
        <v>0</v>
      </c>
      <c r="Q15" s="197" t="n">
        <v>0</v>
      </c>
      <c r="S15" s="197" t="n">
        <v>0</v>
      </c>
      <c r="U15" s="197" t="n">
        <v>0</v>
      </c>
      <c r="W15" s="197" t="n">
        <v>0</v>
      </c>
      <c r="Y15" s="197" t="n">
        <v>0</v>
      </c>
      <c r="AA15" s="197" t="n">
        <v>0</v>
      </c>
    </row>
    <row r="17" ht="15" customHeight="1" s="188">
      <c r="A17" s="187" t="n">
        <v>2</v>
      </c>
      <c r="B17" s="202" t="inlineStr">
        <is>
          <t>CHARGES</t>
        </is>
      </c>
      <c r="C17" s="203" t="n">
        <v>24</v>
      </c>
      <c r="D17" s="204" t="inlineStr">
        <is>
          <t>Electricité-Gaz</t>
        </is>
      </c>
      <c r="E17" s="204" t="n">
        <v>233</v>
      </c>
      <c r="G17" s="204" t="n">
        <v>239</v>
      </c>
      <c r="I17" s="204" t="n">
        <v>171</v>
      </c>
      <c r="K17" s="204" t="n">
        <v>165</v>
      </c>
      <c r="M17" s="204" t="n">
        <v>150</v>
      </c>
      <c r="O17" s="204" t="n">
        <v>105</v>
      </c>
      <c r="Q17" s="204" t="n">
        <v>85</v>
      </c>
      <c r="S17" s="204" t="n">
        <v>95</v>
      </c>
      <c r="U17" s="204" t="n">
        <v>92</v>
      </c>
      <c r="W17" s="204" t="n">
        <v>150</v>
      </c>
      <c r="Y17" s="204" t="n">
        <v>135</v>
      </c>
      <c r="AA17" s="204" t="n">
        <v>92</v>
      </c>
    </row>
    <row r="18" ht="15" customHeight="1" s="188">
      <c r="A18" s="187" t="n">
        <v>1</v>
      </c>
      <c r="B18" s="194" t="n"/>
      <c r="C18" s="203" t="n">
        <v>8</v>
      </c>
      <c r="D18" s="204" t="inlineStr">
        <is>
          <t>SNCF</t>
        </is>
      </c>
      <c r="E18" s="204" t="n">
        <v>137</v>
      </c>
      <c r="G18" s="204" t="n">
        <v>137</v>
      </c>
      <c r="I18" s="204" t="n">
        <v>137</v>
      </c>
      <c r="K18" s="204" t="n">
        <v>137</v>
      </c>
      <c r="M18" s="204" t="n">
        <v>137</v>
      </c>
      <c r="O18" s="204" t="n">
        <v>137</v>
      </c>
      <c r="Q18" s="204" t="n">
        <v>137</v>
      </c>
      <c r="S18" s="204" t="n">
        <v>137</v>
      </c>
      <c r="U18" s="204" t="n">
        <v>137</v>
      </c>
      <c r="W18" s="204" t="n">
        <v>137</v>
      </c>
      <c r="Y18" s="204" t="n">
        <v>137</v>
      </c>
      <c r="AA18" s="204" t="n">
        <v>137</v>
      </c>
    </row>
    <row r="19" ht="15" customHeight="1" s="188">
      <c r="A19" s="187" t="n">
        <v>1</v>
      </c>
      <c r="B19" s="194" t="n"/>
      <c r="C19" s="203" t="n">
        <v>10</v>
      </c>
      <c r="D19" s="204" t="inlineStr">
        <is>
          <t>Mutuelle</t>
        </is>
      </c>
      <c r="E19" s="204" t="n">
        <v>79</v>
      </c>
      <c r="G19" s="204" t="n">
        <v>79</v>
      </c>
      <c r="I19" s="204" t="n">
        <v>79</v>
      </c>
      <c r="K19" s="204" t="n">
        <v>79</v>
      </c>
      <c r="M19" s="204" t="n">
        <v>79</v>
      </c>
      <c r="O19" s="204" t="n">
        <v>79</v>
      </c>
      <c r="Q19" s="204" t="n">
        <v>79</v>
      </c>
      <c r="S19" s="204" t="n">
        <v>79</v>
      </c>
      <c r="U19" s="204" t="n">
        <v>79</v>
      </c>
      <c r="W19" s="204" t="n">
        <v>79</v>
      </c>
      <c r="Y19" s="204" t="n">
        <v>79</v>
      </c>
      <c r="AA19" s="204" t="n">
        <v>79</v>
      </c>
    </row>
    <row r="20" ht="15" customHeight="1" s="188">
      <c r="A20" s="187" t="n">
        <v>1</v>
      </c>
      <c r="B20" s="194" t="n"/>
      <c r="C20" s="203" t="n">
        <v>5</v>
      </c>
      <c r="D20" s="204" t="inlineStr">
        <is>
          <t>Syndicat</t>
        </is>
      </c>
      <c r="E20" s="204" t="n">
        <v>17</v>
      </c>
      <c r="G20" s="204" t="n">
        <v>17</v>
      </c>
      <c r="I20" s="204" t="n">
        <v>17</v>
      </c>
      <c r="K20" s="204" t="n">
        <v>17</v>
      </c>
      <c r="M20" s="204" t="n">
        <v>17</v>
      </c>
      <c r="O20" s="204" t="n">
        <v>17</v>
      </c>
      <c r="Q20" s="204" t="n">
        <v>17</v>
      </c>
      <c r="S20" s="204" t="n">
        <v>17</v>
      </c>
      <c r="U20" s="204" t="n">
        <v>17</v>
      </c>
      <c r="W20" s="204" t="n">
        <v>17</v>
      </c>
      <c r="Y20" s="204" t="n">
        <v>17</v>
      </c>
      <c r="AA20" s="204" t="n">
        <v>17</v>
      </c>
    </row>
    <row r="21" ht="15" customHeight="1" s="188">
      <c r="A21" s="187" t="n">
        <v>2</v>
      </c>
      <c r="B21" s="194" t="n"/>
      <c r="C21" s="203" t="n">
        <v>18</v>
      </c>
      <c r="D21" s="204" t="inlineStr">
        <is>
          <t>Banque</t>
        </is>
      </c>
      <c r="E21" s="204" t="n">
        <v>14</v>
      </c>
      <c r="G21" s="204" t="n">
        <v>14</v>
      </c>
      <c r="I21" s="204" t="n">
        <v>14</v>
      </c>
      <c r="K21" s="204" t="n">
        <v>14</v>
      </c>
      <c r="M21" s="204" t="n">
        <v>14</v>
      </c>
      <c r="O21" s="204" t="n">
        <v>14</v>
      </c>
      <c r="Q21" s="204" t="n">
        <v>14</v>
      </c>
      <c r="S21" s="204" t="n">
        <v>14</v>
      </c>
      <c r="U21" s="204" t="n">
        <v>14</v>
      </c>
      <c r="W21" s="204" t="n">
        <v>14</v>
      </c>
      <c r="Y21" s="204" t="n">
        <v>14</v>
      </c>
      <c r="AA21" s="204" t="n">
        <v>14</v>
      </c>
    </row>
    <row r="22" ht="15" customHeight="1" s="188">
      <c r="A22" s="187" t="n">
        <v>1</v>
      </c>
      <c r="B22" s="194" t="n"/>
      <c r="C22" s="203" t="n">
        <v>22</v>
      </c>
      <c r="D22" s="204" t="inlineStr">
        <is>
          <t>Box</t>
        </is>
      </c>
      <c r="E22" s="204" t="n">
        <v>18</v>
      </c>
      <c r="G22" s="204" t="n">
        <v>19</v>
      </c>
      <c r="I22" s="204" t="n">
        <v>19</v>
      </c>
      <c r="K22" s="204" t="n">
        <v>19</v>
      </c>
      <c r="M22" s="204" t="n">
        <v>32</v>
      </c>
      <c r="O22" s="204">
        <f>39+25</f>
        <v/>
      </c>
      <c r="Q22" s="204" t="n">
        <v>0</v>
      </c>
      <c r="S22" s="204" t="n">
        <v>26</v>
      </c>
      <c r="U22" s="204" t="n">
        <v>26</v>
      </c>
      <c r="W22" s="204" t="n">
        <v>26</v>
      </c>
      <c r="Y22" s="204" t="n">
        <v>26</v>
      </c>
      <c r="AA22" s="204" t="n">
        <v>26</v>
      </c>
    </row>
    <row r="23" ht="15" customHeight="1" s="188">
      <c r="A23" s="187" t="n">
        <v>2</v>
      </c>
      <c r="B23" s="201" t="n"/>
      <c r="C23" s="203" t="n">
        <v>17</v>
      </c>
      <c r="D23" s="204" t="inlineStr">
        <is>
          <t>tél portable</t>
        </is>
      </c>
      <c r="E23" s="204" t="n">
        <v>13</v>
      </c>
      <c r="G23" s="204" t="n">
        <v>13</v>
      </c>
      <c r="I23" s="204" t="n">
        <v>13</v>
      </c>
      <c r="K23" s="204" t="n">
        <v>13</v>
      </c>
      <c r="M23" s="204" t="n">
        <v>13</v>
      </c>
      <c r="O23" s="204" t="n">
        <v>13</v>
      </c>
      <c r="Q23" s="204" t="n">
        <v>15</v>
      </c>
      <c r="S23" s="204" t="n">
        <v>15</v>
      </c>
      <c r="U23" s="204" t="n">
        <v>15</v>
      </c>
      <c r="W23" s="204" t="n">
        <v>15</v>
      </c>
      <c r="Y23" s="204" t="n">
        <v>13</v>
      </c>
      <c r="AA23" s="204" t="n">
        <v>15</v>
      </c>
    </row>
    <row r="25" ht="15" customHeight="1" s="188">
      <c r="A25" s="187" t="n">
        <v>2</v>
      </c>
      <c r="B25" s="205" t="inlineStr">
        <is>
          <t>EPARGNE</t>
        </is>
      </c>
      <c r="C25" s="206" t="n"/>
      <c r="D25" s="207" t="inlineStr">
        <is>
          <t>Epargne Livret A</t>
        </is>
      </c>
      <c r="E25" s="207" t="n">
        <v>300</v>
      </c>
      <c r="G25" s="207" t="n">
        <v>300</v>
      </c>
      <c r="I25" s="207" t="n">
        <v>0</v>
      </c>
      <c r="K25" s="207" t="n">
        <v>300</v>
      </c>
      <c r="M25" s="207" t="n">
        <v>300</v>
      </c>
      <c r="O25" s="207" t="n">
        <v>0</v>
      </c>
      <c r="Q25" s="207" t="n">
        <v>0</v>
      </c>
      <c r="S25" s="207" t="n">
        <v>0</v>
      </c>
      <c r="U25" s="207" t="n">
        <v>0</v>
      </c>
      <c r="W25" s="207" t="n">
        <v>0</v>
      </c>
      <c r="Y25" s="207" t="n">
        <v>0</v>
      </c>
      <c r="AA25" s="207" t="n">
        <v>0</v>
      </c>
    </row>
    <row r="26" ht="15" customHeight="1" s="188">
      <c r="A26" s="187" t="n">
        <v>2</v>
      </c>
      <c r="B26" s="194" t="n"/>
      <c r="C26" s="206" t="n"/>
      <c r="D26" s="207" t="inlineStr">
        <is>
          <t>PEA</t>
        </is>
      </c>
      <c r="E26" s="207" t="n">
        <v>0</v>
      </c>
      <c r="G26" s="207" t="n">
        <v>20</v>
      </c>
      <c r="I26" s="207" t="n">
        <v>20</v>
      </c>
      <c r="K26" s="207" t="n">
        <v>20</v>
      </c>
      <c r="M26" s="207" t="n">
        <v>20</v>
      </c>
      <c r="O26" s="207" t="n">
        <v>20</v>
      </c>
      <c r="Q26" s="207" t="n">
        <v>20</v>
      </c>
      <c r="S26" s="207" t="n">
        <v>20</v>
      </c>
      <c r="U26" s="207" t="n">
        <v>20</v>
      </c>
      <c r="W26" s="207" t="n">
        <v>20</v>
      </c>
      <c r="Y26" s="207" t="n">
        <v>20</v>
      </c>
      <c r="AA26" s="207" t="n">
        <v>20</v>
      </c>
    </row>
    <row r="27" ht="15" customHeight="1" s="188">
      <c r="A27" s="187" t="n">
        <v>1</v>
      </c>
      <c r="B27" s="194" t="n"/>
      <c r="C27" s="206" t="n"/>
      <c r="D27" s="207" t="inlineStr">
        <is>
          <t>Boursorama</t>
        </is>
      </c>
      <c r="E27" s="207" t="n">
        <v>50</v>
      </c>
      <c r="G27" s="207" t="n">
        <v>50</v>
      </c>
      <c r="I27" s="207" t="n">
        <v>50</v>
      </c>
      <c r="K27" s="207" t="n">
        <v>50</v>
      </c>
      <c r="M27" s="207" t="n">
        <v>50</v>
      </c>
      <c r="O27" s="207" t="n">
        <v>50</v>
      </c>
      <c r="Q27" s="207" t="n">
        <v>50</v>
      </c>
      <c r="S27" s="207" t="n">
        <v>50</v>
      </c>
      <c r="U27" s="207" t="n">
        <v>50</v>
      </c>
      <c r="W27" s="207" t="n">
        <v>50</v>
      </c>
      <c r="Y27" s="207" t="n">
        <v>50</v>
      </c>
      <c r="AA27" s="207" t="n">
        <v>50</v>
      </c>
    </row>
    <row r="28" ht="15" customHeight="1" s="188">
      <c r="A28" s="187" t="n">
        <v>2</v>
      </c>
      <c r="B28" s="194" t="n"/>
      <c r="C28" s="206" t="n"/>
      <c r="D28" s="207" t="inlineStr">
        <is>
          <t>Boursorama</t>
        </is>
      </c>
      <c r="E28" s="207" t="n">
        <v>50</v>
      </c>
      <c r="G28" s="207" t="n">
        <v>40</v>
      </c>
      <c r="I28" s="207" t="n">
        <v>50</v>
      </c>
      <c r="K28" s="207" t="n">
        <v>50</v>
      </c>
      <c r="M28" s="207" t="n">
        <v>50</v>
      </c>
      <c r="O28" s="207" t="n">
        <v>50</v>
      </c>
      <c r="Q28" s="207" t="n">
        <v>50</v>
      </c>
      <c r="S28" s="207" t="n">
        <v>50</v>
      </c>
      <c r="U28" s="207" t="n">
        <v>50</v>
      </c>
      <c r="W28" s="207" t="n">
        <v>50</v>
      </c>
      <c r="Y28" s="207" t="n">
        <v>50</v>
      </c>
      <c r="AA28" s="207" t="n">
        <v>50</v>
      </c>
    </row>
    <row r="29" ht="15" customHeight="1" s="188">
      <c r="A29" s="187" t="n">
        <v>1</v>
      </c>
      <c r="B29" s="194" t="n"/>
      <c r="C29" s="206" t="n">
        <v>8</v>
      </c>
      <c r="D29" s="207" t="inlineStr">
        <is>
          <t>Trad212</t>
        </is>
      </c>
      <c r="E29" s="207" t="n">
        <v>15</v>
      </c>
      <c r="G29" s="207" t="n">
        <v>15</v>
      </c>
      <c r="I29" s="207" t="n">
        <v>15</v>
      </c>
      <c r="K29" s="207" t="n">
        <v>15</v>
      </c>
      <c r="M29" s="207" t="n">
        <v>15</v>
      </c>
      <c r="O29" s="207" t="n">
        <v>15</v>
      </c>
      <c r="Q29" s="207" t="n">
        <v>15</v>
      </c>
      <c r="S29" s="207" t="n">
        <v>15</v>
      </c>
      <c r="U29" s="207" t="n">
        <v>15</v>
      </c>
      <c r="W29" s="207" t="n">
        <v>15</v>
      </c>
      <c r="Y29" s="207" t="n">
        <v>15</v>
      </c>
      <c r="AA29" s="207" t="n">
        <v>15</v>
      </c>
    </row>
    <row r="30" ht="15" customHeight="1" s="188">
      <c r="A30" s="187" t="n">
        <v>1</v>
      </c>
      <c r="B30" s="201" t="n"/>
      <c r="C30" s="206" t="n"/>
      <c r="D30" s="207" t="inlineStr">
        <is>
          <t>Casden</t>
        </is>
      </c>
      <c r="E30" s="207" t="n">
        <v>10</v>
      </c>
      <c r="G30" s="207" t="n">
        <v>10</v>
      </c>
      <c r="I30" s="207" t="n">
        <v>10</v>
      </c>
      <c r="K30" s="207" t="n">
        <v>10</v>
      </c>
      <c r="M30" s="207" t="n">
        <v>10</v>
      </c>
      <c r="O30" s="207" t="n">
        <v>10</v>
      </c>
      <c r="Q30" s="207" t="n">
        <v>10</v>
      </c>
      <c r="S30" s="207" t="n">
        <v>10</v>
      </c>
      <c r="U30" s="207" t="n">
        <v>10</v>
      </c>
      <c r="W30" s="207" t="n">
        <v>10</v>
      </c>
      <c r="Y30" s="207" t="n">
        <v>10</v>
      </c>
      <c r="AA30" s="207" t="n">
        <v>10</v>
      </c>
    </row>
    <row r="32" ht="15" customHeight="1" s="188">
      <c r="A32" s="187" t="n">
        <v>2</v>
      </c>
      <c r="B32" s="209" t="inlineStr">
        <is>
          <t>DIVERS</t>
        </is>
      </c>
      <c r="C32" s="210" t="n"/>
      <c r="D32" s="211" t="inlineStr">
        <is>
          <t>Chauffage</t>
        </is>
      </c>
      <c r="E32" s="212" t="n">
        <v>430</v>
      </c>
      <c r="G32" s="212" t="n">
        <v>0</v>
      </c>
      <c r="I32" s="212" t="n">
        <v>0</v>
      </c>
      <c r="K32" s="212" t="n">
        <v>0</v>
      </c>
      <c r="M32" s="212" t="n">
        <v>0</v>
      </c>
      <c r="O32" s="212" t="n">
        <v>0</v>
      </c>
      <c r="Q32" s="212" t="n">
        <v>0</v>
      </c>
      <c r="S32" s="212" t="n">
        <v>0</v>
      </c>
      <c r="U32" s="212" t="n">
        <v>0</v>
      </c>
      <c r="W32" s="212" t="n">
        <v>0</v>
      </c>
      <c r="Y32" s="212" t="n">
        <v>0</v>
      </c>
      <c r="AA32" s="212" t="n">
        <v>0</v>
      </c>
    </row>
    <row r="33" ht="15" customHeight="1" s="188">
      <c r="A33" s="187" t="n">
        <v>2</v>
      </c>
      <c r="B33" s="194" t="n"/>
      <c r="C33" s="210" t="n"/>
      <c r="D33" s="211" t="inlineStr">
        <is>
          <t>Ordure Ménageres</t>
        </is>
      </c>
      <c r="E33" s="212" t="n">
        <v>0</v>
      </c>
      <c r="G33" s="212" t="n">
        <v>153</v>
      </c>
      <c r="I33" s="212" t="n">
        <v>0</v>
      </c>
      <c r="K33" s="212" t="n">
        <v>0</v>
      </c>
      <c r="M33" s="212" t="n">
        <v>0</v>
      </c>
      <c r="O33" s="212" t="n">
        <v>0</v>
      </c>
      <c r="Q33" s="212" t="n">
        <v>148</v>
      </c>
      <c r="S33" s="212" t="n">
        <v>0</v>
      </c>
      <c r="U33" s="212" t="n">
        <v>0</v>
      </c>
      <c r="W33" s="212" t="n">
        <v>0</v>
      </c>
      <c r="Y33" s="212" t="n">
        <v>0</v>
      </c>
      <c r="AA33" s="212" t="n">
        <v>0</v>
      </c>
    </row>
    <row r="34" ht="15" customHeight="1" s="188">
      <c r="A34" s="187" t="n">
        <v>1</v>
      </c>
      <c r="B34" s="194" t="n"/>
      <c r="C34" s="213" t="n"/>
      <c r="D34" s="211" t="inlineStr">
        <is>
          <t>Assurance habitation</t>
        </is>
      </c>
      <c r="E34" s="212" t="n">
        <v>0</v>
      </c>
      <c r="G34" s="212" t="n">
        <v>0</v>
      </c>
      <c r="I34" s="212" t="n">
        <v>0</v>
      </c>
      <c r="K34" s="212" t="n">
        <v>0</v>
      </c>
      <c r="M34" s="212" t="n">
        <v>308</v>
      </c>
      <c r="O34" s="212" t="n">
        <v>0</v>
      </c>
      <c r="Q34" s="212" t="n">
        <v>0</v>
      </c>
      <c r="S34" s="212" t="n">
        <v>0</v>
      </c>
      <c r="U34" s="212" t="n">
        <v>0</v>
      </c>
      <c r="W34" s="212" t="n">
        <v>0</v>
      </c>
      <c r="Y34" s="212" t="n">
        <v>0</v>
      </c>
      <c r="AA34" s="212" t="n">
        <v>0</v>
      </c>
    </row>
    <row r="35" ht="15" customHeight="1" s="188">
      <c r="A35" s="187" t="n">
        <v>1</v>
      </c>
      <c r="B35" s="194" t="n"/>
      <c r="C35" s="213" t="n"/>
      <c r="D35" s="212" t="inlineStr">
        <is>
          <t>cantine</t>
        </is>
      </c>
      <c r="O35" s="212" t="n">
        <v>0</v>
      </c>
      <c r="Q35" s="212" t="n">
        <v>0</v>
      </c>
      <c r="S35" s="212" t="n">
        <v>20</v>
      </c>
      <c r="U35" s="212" t="n">
        <v>0</v>
      </c>
      <c r="W35" s="212" t="n">
        <v>0</v>
      </c>
      <c r="Y35" s="212" t="n">
        <v>0</v>
      </c>
      <c r="AA35" s="212" t="n">
        <v>0</v>
      </c>
    </row>
    <row r="36" ht="21" customHeight="1" s="188">
      <c r="A36" s="187" t="n">
        <v>2</v>
      </c>
      <c r="B36" s="201" t="n"/>
      <c r="C36" s="213" t="n"/>
      <c r="D36" s="212" t="inlineStr">
        <is>
          <t>taxe Fonciere</t>
        </is>
      </c>
      <c r="Y36" s="212" t="n">
        <v>480</v>
      </c>
      <c r="AA36" s="212" t="n">
        <v>480</v>
      </c>
    </row>
    <row r="38" ht="15" customHeight="1" s="188">
      <c r="A38" s="187" t="n">
        <v>1</v>
      </c>
      <c r="D38" s="215" t="inlineStr">
        <is>
          <t>nourriture</t>
        </is>
      </c>
      <c r="E38" s="215" t="n">
        <v>160</v>
      </c>
      <c r="G38" s="215">
        <f>37+45+36+26</f>
        <v/>
      </c>
      <c r="I38" s="215" t="n">
        <v>80</v>
      </c>
      <c r="K38" s="215" t="n">
        <v>80</v>
      </c>
      <c r="M38" s="215" t="n">
        <v>80</v>
      </c>
      <c r="O38" s="215" t="n">
        <v>80</v>
      </c>
      <c r="Q38" s="215" t="n">
        <v>80</v>
      </c>
      <c r="S38" s="215" t="n">
        <v>80</v>
      </c>
      <c r="U38" s="215" t="n">
        <v>80</v>
      </c>
      <c r="W38" s="215" t="n">
        <v>80</v>
      </c>
      <c r="Y38" s="215" t="n">
        <v>80</v>
      </c>
      <c r="AA38" s="215" t="n">
        <v>80</v>
      </c>
    </row>
    <row r="39" ht="15" customHeight="1" s="188">
      <c r="A39" s="187" t="n">
        <v>2</v>
      </c>
      <c r="D39" s="215" t="inlineStr">
        <is>
          <t>nourriture</t>
        </is>
      </c>
      <c r="E39" s="216" t="n"/>
      <c r="G39" s="216" t="n">
        <v>27</v>
      </c>
      <c r="I39" s="216" t="n">
        <v>80</v>
      </c>
      <c r="K39" s="216" t="n">
        <v>80</v>
      </c>
      <c r="M39" s="216" t="n">
        <v>80</v>
      </c>
      <c r="O39" s="216" t="n">
        <v>80</v>
      </c>
      <c r="Q39" s="216" t="n">
        <v>80</v>
      </c>
      <c r="S39" s="216" t="n">
        <v>80</v>
      </c>
      <c r="U39" s="216" t="n">
        <v>80</v>
      </c>
      <c r="W39" s="216" t="n">
        <v>80</v>
      </c>
      <c r="Y39" s="216" t="n">
        <v>80</v>
      </c>
      <c r="AA39" s="216" t="n">
        <v>80</v>
      </c>
    </row>
    <row r="40" ht="15" customHeight="1" s="188">
      <c r="E40" s="217" t="n"/>
      <c r="G40" s="217" t="n"/>
      <c r="I40" s="217" t="n"/>
      <c r="K40" s="217" t="n"/>
      <c r="M40" s="217" t="n"/>
      <c r="O40" s="217" t="n"/>
      <c r="Q40" s="217" t="n"/>
      <c r="S40" s="217" t="n"/>
      <c r="U40" s="217" t="n"/>
      <c r="W40" s="217" t="n"/>
      <c r="Y40" s="217" t="n"/>
      <c r="AA40" s="217" t="n"/>
    </row>
    <row r="41" ht="15" customHeight="1" s="188">
      <c r="E41" s="217">
        <f>SUM(E8:E40)</f>
        <v/>
      </c>
      <c r="G41" s="217">
        <f>SUM(G8:G40)</f>
        <v/>
      </c>
      <c r="I41" s="217">
        <f>SUM(I8:I40)</f>
        <v/>
      </c>
      <c r="K41" s="217">
        <f>SUM(K8:K40)</f>
        <v/>
      </c>
      <c r="M41" s="217">
        <f>SUM(M8:M40)</f>
        <v/>
      </c>
      <c r="O41" s="217">
        <f>SUM(O8:O40)</f>
        <v/>
      </c>
      <c r="Q41" s="217">
        <f>SUM(Q8:Q40)</f>
        <v/>
      </c>
      <c r="S41" s="217">
        <f>SUM(S8:S40)</f>
        <v/>
      </c>
      <c r="U41" s="217">
        <f>SUM(U8:U40)</f>
        <v/>
      </c>
      <c r="W41" s="217">
        <f>SUM(W8:W40)</f>
        <v/>
      </c>
      <c r="Y41" s="217">
        <f>SUM(Y8:Y40)</f>
        <v/>
      </c>
      <c r="AA41" s="217">
        <f>SUM(AA8:AA40)</f>
        <v/>
      </c>
    </row>
    <row r="42" ht="15" customHeight="1" s="188">
      <c r="D42" s="203" t="inlineStr">
        <is>
          <t>1er quizaine</t>
        </is>
      </c>
      <c r="E42" s="217">
        <f>SUMIF($A$8:$A$36,"=1",E8:E36)</f>
        <v/>
      </c>
      <c r="G42" s="217">
        <f>SUMIF($A$8:$A$40,"=1",G8:G40)</f>
        <v/>
      </c>
      <c r="I42" s="217">
        <f>SUMIF($A$8:$A$36,"=1",I8:I36)</f>
        <v/>
      </c>
      <c r="K42" s="217">
        <f>SUMIF($A$8:$A$40,"=1",K8:K40)</f>
        <v/>
      </c>
      <c r="M42" s="217">
        <f>SUMIF($A$8:$A$40,"=1",M8:M40)</f>
        <v/>
      </c>
      <c r="O42" s="217">
        <f>SUMIF($A$8:$A$40,"=1",O8:O40)</f>
        <v/>
      </c>
      <c r="Q42" s="217">
        <f>SUMIF($A$8:$A$40,"=1",Q8:Q40)</f>
        <v/>
      </c>
      <c r="S42" s="217">
        <f>SUMIF($A$8:$A$40,"=1",S8:S40)</f>
        <v/>
      </c>
      <c r="U42" s="217">
        <f>SUMIF($A$8:$A$40,"=1",U8:U40)</f>
        <v/>
      </c>
      <c r="W42" s="217">
        <f>SUMIF($A$8:$A$40,"=1",W8:W40)</f>
        <v/>
      </c>
      <c r="Y42" s="217">
        <f>SUMIF($A$8:$A$40,"=1",Y8:Y40)</f>
        <v/>
      </c>
      <c r="AA42" s="217">
        <f>SUMIF($A$8:$A$40,"=1",AA8:AA40)</f>
        <v/>
      </c>
    </row>
    <row r="43" ht="15" customHeight="1" s="188">
      <c r="D43" s="203" t="inlineStr">
        <is>
          <t>2eme quinzaine</t>
        </is>
      </c>
      <c r="E43" s="217">
        <f>SUMIF($A$8:$A$36,"=2",E8:E36)</f>
        <v/>
      </c>
      <c r="G43" s="217">
        <f>SUMIF($A$8:$A$40,"=2",G8:G40)</f>
        <v/>
      </c>
      <c r="I43" s="217">
        <f>SUMIF($A$8:$A$36,"=2",I8:I36)</f>
        <v/>
      </c>
      <c r="K43" s="217">
        <f>SUMIF($A$8:$A$40,"=2",K8:K40)</f>
        <v/>
      </c>
      <c r="M43" s="217">
        <f>SUMIF($A$8:$A$40,"=2",M8:M40)</f>
        <v/>
      </c>
      <c r="O43" s="217">
        <f>SUMIF($A$8:$A$40,"=2",O8:O40)</f>
        <v/>
      </c>
      <c r="Q43" s="217">
        <f>SUMIF($A$8:$A$40,"=2",Q8:Q40)</f>
        <v/>
      </c>
      <c r="S43" s="217">
        <f>SUMIF($A$8:$A$40,"=2",S8:S40)</f>
        <v/>
      </c>
      <c r="U43" s="217">
        <f>SUMIF($A$8:$A$40,"=2",U8:U40)</f>
        <v/>
      </c>
      <c r="W43" s="217">
        <f>SUMIF($A$8:$A$40,"=2",W8:W40)</f>
        <v/>
      </c>
      <c r="Y43" s="217">
        <f>SUMIF($A$8:$A$40,"=2",Y8:Y40)</f>
        <v/>
      </c>
      <c r="AA43" s="217">
        <f>SUMIF($A$8:$A$40,"=2",AA8:AA40)</f>
        <v/>
      </c>
    </row>
    <row r="44" ht="15" customHeight="1" s="188">
      <c r="D44" s="203" t="inlineStr">
        <is>
          <t>Reste</t>
        </is>
      </c>
      <c r="E44" s="218">
        <f>$B$5-E41</f>
        <v/>
      </c>
      <c r="G44" s="218">
        <f>$B$5-G41</f>
        <v/>
      </c>
      <c r="I44" s="218">
        <f>$B$5-I41</f>
        <v/>
      </c>
      <c r="K44" s="218">
        <f>$B$5-K41</f>
        <v/>
      </c>
      <c r="M44" s="218">
        <f>$B$5-M41</f>
        <v/>
      </c>
      <c r="O44" s="218">
        <f>$B$5-O41</f>
        <v/>
      </c>
      <c r="Q44" s="218">
        <f>$B$5-Q41</f>
        <v/>
      </c>
      <c r="S44" s="218">
        <f>$B$5-S41</f>
        <v/>
      </c>
      <c r="U44" s="218">
        <f>$B$5-U41</f>
        <v/>
      </c>
      <c r="W44" s="218">
        <f>$B$5-W41</f>
        <v/>
      </c>
      <c r="Y44" s="218">
        <f>$B$5-Y41</f>
        <v/>
      </c>
      <c r="AA44" s="218">
        <f>$B$5-AA41</f>
        <v/>
      </c>
    </row>
    <row r="45" ht="15" customHeight="1" s="188">
      <c r="G45" s="219" t="n"/>
    </row>
  </sheetData>
  <mergeCells count="4">
    <mergeCell ref="B32:B36"/>
    <mergeCell ref="B8:B15"/>
    <mergeCell ref="B17:B23"/>
    <mergeCell ref="B25:B30"/>
  </mergeCells>
  <conditionalFormatting sqref="A22">
    <cfRule type="cellIs" rank="0" priority="2" equalAverage="0" operator="equal" aboveAverage="0" dxfId="0" text="" percent="0" bottom="0">
      <formula>1</formula>
    </cfRule>
  </conditionalFormatting>
  <conditionalFormatting sqref="A36">
    <cfRule type="cellIs" rank="0" priority="3" equalAverage="0" operator="equal" aboveAverage="0" dxfId="1" text="" percent="0" bottom="0">
      <formula>2</formula>
    </cfRule>
  </conditionalFormatting>
  <conditionalFormatting sqref="A33">
    <cfRule type="cellIs" rank="0" priority="4" equalAverage="0" operator="equal" aboveAverage="0" dxfId="1" text="" percent="0" bottom="0">
      <formula>2</formula>
    </cfRule>
  </conditionalFormatting>
  <conditionalFormatting sqref="A34">
    <cfRule type="cellIs" rank="0" priority="5" equalAverage="0" operator="equal" aboveAverage="0" dxfId="0" text="" percent="0" bottom="0">
      <formula>1</formula>
    </cfRule>
  </conditionalFormatting>
  <conditionalFormatting sqref="A27">
    <cfRule type="cellIs" rank="0" priority="6" equalAverage="0" operator="equal" aboveAverage="0" dxfId="0" text="" percent="0" bottom="0">
      <formula>1</formula>
    </cfRule>
  </conditionalFormatting>
  <conditionalFormatting sqref="A39">
    <cfRule type="cellIs" rank="0" priority="7" equalAverage="0" operator="equal" aboveAverage="0" dxfId="1" text="" percent="0" bottom="0">
      <formula>2</formula>
    </cfRule>
  </conditionalFormatting>
  <conditionalFormatting sqref="A29">
    <cfRule type="cellIs" rank="0" priority="8" equalAverage="0" operator="equal" aboveAverage="0" dxfId="0" text="" percent="0" bottom="0">
      <formula>1</formula>
    </cfRule>
  </conditionalFormatting>
  <conditionalFormatting sqref="A32">
    <cfRule type="cellIs" rank="0" priority="9" equalAverage="0" operator="equal" aboveAverage="0" dxfId="1" text="" percent="0" bottom="0">
      <formula>2</formula>
    </cfRule>
  </conditionalFormatting>
  <conditionalFormatting sqref="A14:A15 A17">
    <cfRule type="cellIs" rank="0" priority="10" equalAverage="0" operator="equal" aboveAverage="0" dxfId="1" text="" percent="0" bottom="0">
      <formula>2</formula>
    </cfRule>
  </conditionalFormatting>
  <conditionalFormatting sqref="A21 A23:A26 A28">
    <cfRule type="cellIs" rank="0" priority="11" equalAverage="0" operator="equal" aboveAverage="0" dxfId="1" text="" percent="0" bottom="0">
      <formula>2</formula>
    </cfRule>
  </conditionalFormatting>
  <conditionalFormatting sqref="A9">
    <cfRule type="cellIs" rank="0" priority="12" equalAverage="0" operator="equal" aboveAverage="0" dxfId="1" text="" percent="0" bottom="0">
      <formula>2</formula>
    </cfRule>
  </conditionalFormatting>
  <conditionalFormatting sqref="A38">
    <cfRule type="cellIs" rank="0" priority="13" equalAverage="0" operator="equal" aboveAverage="0" dxfId="0" text="" percent="0" bottom="0">
      <formula>1</formula>
    </cfRule>
  </conditionalFormatting>
  <conditionalFormatting sqref="A30">
    <cfRule type="cellIs" rank="0" priority="14" equalAverage="0" operator="equal" aboveAverage="0" dxfId="0" text="" percent="0" bottom="0">
      <formula>1</formula>
    </cfRule>
  </conditionalFormatting>
  <conditionalFormatting sqref="A20">
    <cfRule type="cellIs" rank="0" priority="15" equalAverage="0" operator="equal" aboveAverage="0" dxfId="0" text="" percent="0" bottom="0">
      <formula>1</formula>
    </cfRule>
  </conditionalFormatting>
  <conditionalFormatting sqref="A19">
    <cfRule type="cellIs" rank="0" priority="16" equalAverage="0" operator="equal" aboveAverage="0" dxfId="0" text="" percent="0" bottom="0">
      <formula>1</formula>
    </cfRule>
  </conditionalFormatting>
  <conditionalFormatting sqref="A18">
    <cfRule type="cellIs" rank="0" priority="17" equalAverage="0" operator="equal" aboveAverage="0" dxfId="0" text="" percent="0" bottom="0">
      <formula>1</formula>
    </cfRule>
  </conditionalFormatting>
  <conditionalFormatting sqref="A13">
    <cfRule type="cellIs" rank="0" priority="18" equalAverage="0" operator="equal" aboveAverage="0" dxfId="0" text="" percent="0" bottom="0">
      <formula>1</formula>
    </cfRule>
  </conditionalFormatting>
  <conditionalFormatting sqref="A12">
    <cfRule type="cellIs" rank="0" priority="19" equalAverage="0" operator="equal" aboveAverage="0" dxfId="0" text="" percent="0" bottom="0">
      <formula>1</formula>
    </cfRule>
  </conditionalFormatting>
  <conditionalFormatting sqref="A10">
    <cfRule type="cellIs" rank="0" priority="20" equalAverage="0" operator="equal" aboveAverage="0" dxfId="0" text="" percent="0" bottom="0">
      <formula>1</formula>
    </cfRule>
  </conditionalFormatting>
  <conditionalFormatting sqref="A8">
    <cfRule type="cellIs" rank="0" priority="21" equalAverage="0" operator="equal" aboveAverage="0" dxfId="1" text="" percent="0" bottom="0">
      <formula>2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00"/>
  <sheetViews>
    <sheetView showFormulas="0" showGridLines="1" showRowColHeaders="1" showZeros="1" rightToLeft="0" tabSelected="0" showOutlineSymbols="1" defaultGridColor="1" view="normal" topLeftCell="A7" colorId="64" zoomScale="115" zoomScaleNormal="115" zoomScalePageLayoutView="100" workbookViewId="0">
      <selection pane="topLeft" activeCell="B88" activeCellId="0" sqref="B88"/>
    </sheetView>
  </sheetViews>
  <sheetFormatPr baseColWidth="8" defaultColWidth="8.71484375" defaultRowHeight="15" zeroHeight="0" outlineLevelRow="0"/>
  <cols>
    <col width="66.70999999999999" customWidth="1" style="187" min="1" max="1"/>
    <col width="18" customWidth="1" style="187" min="2" max="2"/>
    <col width="4" customWidth="1" style="187" min="3" max="3"/>
    <col width="38" customWidth="1" style="187" min="4" max="4"/>
    <col width="18" customWidth="1" style="187" min="5" max="5"/>
  </cols>
  <sheetData>
    <row r="1" ht="25.5" customHeight="1" s="188">
      <c r="A1" s="221" t="inlineStr">
        <is>
          <t>CALCULATEUR DE RENTABILITÉ IMMOBILIÈRE</t>
        </is>
      </c>
    </row>
    <row r="2" ht="15" customHeight="1" s="188">
      <c r="A2" s="222" t="inlineStr">
        <is>
          <t>Cellules en jaune = à remplir avec vos données</t>
        </is>
      </c>
    </row>
    <row r="4" ht="18" customHeight="1" s="188">
      <c r="A4" s="223" t="inlineStr">
        <is>
          <t>1. ACQUISITION DU BIEN</t>
        </is>
      </c>
      <c r="B4" s="224" t="n"/>
    </row>
    <row r="5" ht="15" customHeight="1" s="188">
      <c r="A5" s="225" t="inlineStr">
        <is>
          <t>Prix d'achat du bien</t>
        </is>
      </c>
      <c r="B5" s="226" t="n">
        <v>82000</v>
      </c>
    </row>
    <row r="6" ht="15" customHeight="1" s="188">
      <c r="A6" s="225" t="inlineStr">
        <is>
          <t>Frais de notaire (%)</t>
        </is>
      </c>
      <c r="B6" s="227" t="n">
        <v>0.075</v>
      </c>
    </row>
    <row r="7" ht="15" customHeight="1" s="188">
      <c r="A7" s="225" t="inlineStr">
        <is>
          <t>Montant frais de notaire</t>
        </is>
      </c>
      <c r="B7" s="228" t="n">
        <v>3833</v>
      </c>
    </row>
    <row r="8" ht="15" customHeight="1" s="188">
      <c r="A8" s="225" t="inlineStr">
        <is>
          <t>Frais d'agence</t>
        </is>
      </c>
      <c r="B8" s="226" t="n">
        <v>0</v>
      </c>
    </row>
    <row r="9" ht="15" customHeight="1" s="188">
      <c r="A9" s="225" t="inlineStr">
        <is>
          <t>Travaux / rénovation</t>
        </is>
      </c>
      <c r="B9" s="226" t="n">
        <v>0</v>
      </c>
    </row>
    <row r="10" ht="15" customHeight="1" s="188">
      <c r="A10" s="225" t="inlineStr">
        <is>
          <t>Frais de dossier / garantie prêt</t>
        </is>
      </c>
      <c r="B10" s="226" t="n">
        <v>500</v>
      </c>
    </row>
    <row r="11" ht="15" customHeight="1" s="188">
      <c r="A11" s="225" t="inlineStr">
        <is>
          <t>Ameublement (si meublé)</t>
        </is>
      </c>
      <c r="B11" s="226" t="n">
        <v>3600</v>
      </c>
    </row>
    <row r="13" ht="15" customHeight="1" s="188">
      <c r="A13" s="229" t="inlineStr">
        <is>
          <t>COÛT TOTAL DE L'OPÉRATION</t>
        </is>
      </c>
      <c r="B13" s="230">
        <f>B5+B7+B8+B9+B10+B11</f>
        <v/>
      </c>
    </row>
    <row r="15" ht="18" customHeight="1" s="188">
      <c r="A15" s="223" t="inlineStr">
        <is>
          <t>2. FINANCEMENT</t>
        </is>
      </c>
      <c r="B15" s="224" t="n"/>
    </row>
    <row r="16" ht="15" customHeight="1" s="188">
      <c r="A16" s="225" t="inlineStr">
        <is>
          <t>Apport personnel</t>
        </is>
      </c>
      <c r="B16" s="226" t="n">
        <v>9933</v>
      </c>
    </row>
    <row r="17" ht="15" customHeight="1" s="188">
      <c r="A17" s="225" t="inlineStr">
        <is>
          <t>Montant emprunté</t>
        </is>
      </c>
      <c r="B17" s="228">
        <f>B13-B16</f>
        <v/>
      </c>
    </row>
    <row r="18" ht="15" customHeight="1" s="188">
      <c r="A18" s="225" t="inlineStr">
        <is>
          <t>Taux d'intérêt annuel (%)</t>
        </is>
      </c>
      <c r="B18" s="227" t="n">
        <v>0.0295</v>
      </c>
    </row>
    <row r="19" ht="15" customHeight="1" s="188">
      <c r="A19" s="225" t="inlineStr">
        <is>
          <t>Durée du prêt (années)</t>
        </is>
      </c>
      <c r="B19" s="231" t="n">
        <v>25</v>
      </c>
    </row>
    <row r="20" ht="15" customHeight="1" s="188">
      <c r="A20" s="225" t="inlineStr">
        <is>
          <t>Taux assurance emprunteur (%)</t>
        </is>
      </c>
      <c r="B20" s="227" t="n">
        <v>0.0016</v>
      </c>
    </row>
    <row r="21" ht="15" customHeight="1" s="188">
      <c r="A21" s="225" t="inlineStr">
        <is>
          <t>Mensualité hors assurance</t>
        </is>
      </c>
      <c r="B21" s="228">
        <f>-PMT(B18/12,B19*12,B17)</f>
        <v/>
      </c>
    </row>
    <row r="22" ht="15" customHeight="1" s="188">
      <c r="A22" s="225" t="inlineStr">
        <is>
          <t>Assurance emprunteur mensuelle</t>
        </is>
      </c>
      <c r="B22" s="228">
        <f>B17*B20/12</f>
        <v/>
      </c>
    </row>
    <row r="23" ht="15" customHeight="1" s="188">
      <c r="A23" s="229" t="inlineStr">
        <is>
          <t>MENSUALITÉ TOTALE (crédit + assurance)</t>
        </is>
      </c>
      <c r="B23" s="230">
        <f>B21+B22</f>
        <v/>
      </c>
    </row>
    <row r="24" ht="15" customHeight="1" s="188">
      <c r="A24" s="225" t="inlineStr">
        <is>
          <t>Coût annuel du crédit (mensualité×12)</t>
        </is>
      </c>
      <c r="B24" s="228">
        <f>B23*12</f>
        <v/>
      </c>
    </row>
    <row r="26" ht="18" customHeight="1" s="188">
      <c r="A26" s="223" t="inlineStr">
        <is>
          <t>3. REVENUS LOCATIFS</t>
        </is>
      </c>
      <c r="B26" s="224" t="n"/>
    </row>
    <row r="27" ht="15" customHeight="1" s="188">
      <c r="A27" s="225" t="inlineStr">
        <is>
          <t>Loyer mensuel hors charges (HC)</t>
        </is>
      </c>
      <c r="B27" s="226" t="n">
        <v>700</v>
      </c>
    </row>
    <row r="28" ht="15" customHeight="1" s="188">
      <c r="A28" s="225" t="inlineStr">
        <is>
          <t>Charges locatives récupérables /mois</t>
        </is>
      </c>
      <c r="B28" s="226" t="n">
        <v>30</v>
      </c>
    </row>
    <row r="29" ht="15" customHeight="1" s="188">
      <c r="A29" s="225" t="inlineStr">
        <is>
          <t>Taux de vacance locative (%)</t>
        </is>
      </c>
      <c r="B29" s="227" t="n">
        <v>0.05</v>
      </c>
    </row>
    <row r="30" ht="15" customHeight="1" s="188">
      <c r="A30" s="225" t="inlineStr">
        <is>
          <t>LOYER ANNUEL BRUT (HC)</t>
        </is>
      </c>
      <c r="B30" s="228">
        <f>B27*12</f>
        <v/>
      </c>
    </row>
    <row r="31" ht="15" customHeight="1" s="188">
      <c r="A31" s="229" t="inlineStr">
        <is>
          <t>LOYER ANNUEL NET DE VACANCE</t>
        </is>
      </c>
      <c r="B31" s="230">
        <f>B30*(1-B29)</f>
        <v/>
      </c>
    </row>
    <row r="33" ht="18" customHeight="1" s="188">
      <c r="A33" s="223" t="inlineStr">
        <is>
          <t>4. CHARGES ANNUELLES DU PROPRIÉTAIRE</t>
        </is>
      </c>
      <c r="B33" s="224" t="n"/>
    </row>
    <row r="34" ht="15" customHeight="1" s="188">
      <c r="A34" s="225" t="inlineStr">
        <is>
          <t>Taxe foncière</t>
        </is>
      </c>
      <c r="B34" s="226" t="n">
        <v>900</v>
      </c>
    </row>
    <row r="35" ht="15" customHeight="1" s="188">
      <c r="A35" s="225" t="inlineStr">
        <is>
          <t>Charges de copropriété non récupérables</t>
        </is>
      </c>
      <c r="B35" s="226" t="n">
        <v>492</v>
      </c>
    </row>
    <row r="36" ht="15" customHeight="1" s="188">
      <c r="A36" s="225" t="inlineStr">
        <is>
          <t>Assurance PNO (propriétaire non occupant)</t>
        </is>
      </c>
      <c r="B36" s="226" t="n">
        <v>150</v>
      </c>
    </row>
    <row r="37" ht="15" customHeight="1" s="188">
      <c r="A37" s="225" t="inlineStr">
        <is>
          <t>Frais de gestion locative (%)</t>
        </is>
      </c>
      <c r="B37" s="227" t="n">
        <v>0</v>
      </c>
    </row>
    <row r="38" ht="15" customHeight="1" s="188">
      <c r="A38" s="225" t="inlineStr">
        <is>
          <t>Montant gestion locative</t>
        </is>
      </c>
      <c r="B38" s="228">
        <f>B31*B37</f>
        <v/>
      </c>
    </row>
    <row r="39" ht="15" customHeight="1" s="188">
      <c r="A39" s="225" t="inlineStr">
        <is>
          <t>Provision travaux / entretien annuel</t>
        </is>
      </c>
      <c r="B39" s="226" t="n">
        <v>5000</v>
      </c>
    </row>
    <row r="40" ht="15" customHeight="1" s="188">
      <c r="A40" s="225" t="inlineStr">
        <is>
          <t>Autres charges (comptable, etc.)</t>
        </is>
      </c>
      <c r="B40" s="226" t="n">
        <v>0</v>
      </c>
    </row>
    <row r="41" ht="15" customHeight="1" s="188">
      <c r="A41" s="229" t="inlineStr">
        <is>
          <t>TOTAL CHARGES ANNUELLES</t>
        </is>
      </c>
      <c r="B41" s="230">
        <f>B34+B35+B36+B38+B39+B40</f>
        <v/>
      </c>
    </row>
    <row r="43" ht="18" customHeight="1" s="188">
      <c r="A43" s="223" t="inlineStr">
        <is>
          <t>5. RÉSULTATS DE RENTABILITÉ</t>
        </is>
      </c>
      <c r="B43" s="224" t="n"/>
    </row>
    <row r="44" ht="15" customHeight="1" s="188">
      <c r="A44" s="225" t="inlineStr">
        <is>
          <t>Rentabilité brute (Loyer brut / Coût total)</t>
        </is>
      </c>
      <c r="B44" s="232">
        <f>B30/B13</f>
        <v/>
      </c>
    </row>
    <row r="45" ht="15" customHeight="1" s="188">
      <c r="A45" s="225" t="inlineStr">
        <is>
          <t>Rentabilité nette de charges</t>
        </is>
      </c>
      <c r="B45" s="232">
        <f>(B31-B41)/B13</f>
        <v/>
      </c>
    </row>
    <row r="46" ht="15" customHeight="1" s="188">
      <c r="A46" s="225" t="inlineStr">
        <is>
          <t>Revenu net annuel avant crédit et impôt</t>
        </is>
      </c>
      <c r="B46" s="228">
        <f>B31-B41</f>
        <v/>
      </c>
    </row>
    <row r="47" ht="15" customHeight="1" s="188">
      <c r="A47" s="229" t="inlineStr">
        <is>
          <t>Cash-flow annuel avant impôt (net - crédit)</t>
        </is>
      </c>
      <c r="B47" s="230">
        <f>B46-B24</f>
        <v/>
      </c>
    </row>
    <row r="48" ht="15" customHeight="1" s="188">
      <c r="A48" s="225" t="inlineStr">
        <is>
          <t>Cash-flow mensuel avant impôt</t>
        </is>
      </c>
      <c r="B48" s="233">
        <f>B47/12</f>
        <v/>
      </c>
    </row>
    <row r="49" ht="15" customHeight="1" s="188">
      <c r="A49" s="225" t="inlineStr">
        <is>
          <t>Estimation impôt sur revenus fonciers</t>
        </is>
      </c>
      <c r="B49" s="227" t="n">
        <v>0.3</v>
      </c>
    </row>
    <row r="50" ht="15" customHeight="1" s="188">
      <c r="A50" s="234" t="inlineStr">
        <is>
          <t xml:space="preserve">  (TMI + prélèvements sociaux 17,2%, régime réel simplifié)</t>
        </is>
      </c>
    </row>
    <row r="51" ht="15" customHeight="1" s="188">
      <c r="A51" s="225" t="inlineStr">
        <is>
          <t>Impôt estimé (sur revenu net avant crédit)</t>
        </is>
      </c>
      <c r="B51" s="228">
        <f>MAX(0,B46)*(B49+0.172)</f>
        <v/>
      </c>
    </row>
    <row r="52" ht="15" customHeight="1" s="188">
      <c r="A52" s="223" t="inlineStr">
        <is>
          <t>CASH-FLOW ANNUEL NET APRÈS IMPÔT</t>
        </is>
      </c>
      <c r="B52" s="235">
        <f>B47-B51</f>
        <v/>
      </c>
    </row>
    <row r="53" ht="15" customHeight="1" s="188">
      <c r="A53" s="225" t="inlineStr">
        <is>
          <t>Rendement net-net (après impôt) / Coût total</t>
        </is>
      </c>
      <c r="B53" s="232">
        <f>(B47-B51+B24)/B13</f>
        <v/>
      </c>
    </row>
    <row r="55" ht="15" customHeight="1" s="188">
      <c r="A55" s="234" t="inlineStr">
        <is>
          <t>Notes : formules Excel actives — modifiez les cellules jaunes, tout se recalcule automatiquement.</t>
        </is>
      </c>
    </row>
    <row r="56" ht="15" customHeight="1" s="188">
      <c r="A56" s="234" t="inlineStr">
        <is>
          <t>L'estimation d'impôt est simplifiée (régime réel, pas d'amortissement LMNP) ; adaptez le taux selon votre situation.</t>
        </is>
      </c>
    </row>
    <row r="57" ht="18" customHeight="1" s="188">
      <c r="A57" s="223" t="inlineStr">
        <is>
          <t>6. FISCALITÉ - RÉGIME RÉEL &amp; DÉFICIT FONCIER</t>
        </is>
      </c>
      <c r="B57" s="224" t="n"/>
    </row>
    <row r="58" ht="15" customHeight="1" s="188">
      <c r="A58" s="222" t="inlineStr">
        <is>
          <t>Hypothèse : location nue, régime réel. Cellules jaunes = à remplir.</t>
        </is>
      </c>
    </row>
    <row r="60" ht="15" customHeight="1" s="188">
      <c r="A60" s="225" t="inlineStr">
        <is>
          <t>Loyers annuels perçus (nets de vacance)</t>
        </is>
      </c>
      <c r="B60" s="228">
        <f>B31</f>
        <v/>
      </c>
    </row>
    <row r="62" ht="15" customHeight="1" s="188">
      <c r="A62" s="236" t="inlineStr">
        <is>
          <t>Charges déductibles :</t>
        </is>
      </c>
    </row>
    <row r="63" ht="15" customHeight="1" s="188">
      <c r="A63" s="225" t="inlineStr">
        <is>
          <t>Intérêts d'emprunt (estimation année 1)</t>
        </is>
      </c>
      <c r="B63" s="228" t="n">
        <v>2170.24</v>
      </c>
      <c r="D63" s="228">
        <f>-SUMPRODUCT(IPMT(D18/12,ROW(INDIRECT("1:12")),D19*12,D17))</f>
        <v/>
      </c>
    </row>
    <row r="64" ht="15" customHeight="1" s="188">
      <c r="A64" s="225" t="inlineStr">
        <is>
          <t>Assurance emprunteur (déductible)</t>
        </is>
      </c>
      <c r="B64" s="228" t="n">
        <v>120</v>
      </c>
      <c r="D64" s="228">
        <f>D22*12</f>
        <v/>
      </c>
    </row>
    <row r="65" ht="15" customHeight="1" s="188">
      <c r="A65" s="225" t="inlineStr">
        <is>
          <t>Taxe foncière</t>
        </is>
      </c>
      <c r="B65" s="228">
        <f>B34</f>
        <v/>
      </c>
    </row>
    <row r="66" ht="15" customHeight="1" s="188">
      <c r="A66" s="225" t="inlineStr">
        <is>
          <t>Charges de copropriété non récupérables</t>
        </is>
      </c>
      <c r="B66" s="228">
        <f>B35</f>
        <v/>
      </c>
    </row>
    <row r="67" ht="15" customHeight="1" s="188">
      <c r="A67" s="225" t="inlineStr">
        <is>
          <t>Assurance PNO</t>
        </is>
      </c>
      <c r="B67" s="228">
        <f>B36</f>
        <v/>
      </c>
    </row>
    <row r="68" ht="15" customHeight="1" s="188">
      <c r="A68" s="225" t="inlineStr">
        <is>
          <t>Frais de gestion locative</t>
        </is>
      </c>
      <c r="B68" s="228">
        <f>B38</f>
        <v/>
      </c>
    </row>
    <row r="69" ht="15" customHeight="1" s="188">
      <c r="A69" s="225" t="inlineStr">
        <is>
          <t>Travaux d'entretien / réparation / amélioration déductibles (année)</t>
        </is>
      </c>
      <c r="B69" s="226" t="n">
        <v>5000</v>
      </c>
    </row>
    <row r="70" ht="15" customHeight="1" s="188">
      <c r="A70" s="234" t="inlineStr">
        <is>
          <t xml:space="preserve">  (les travaux de construction, reconstruction ou agrandissement ne sont JAMAIS déductibles ;</t>
        </is>
      </c>
    </row>
    <row r="71" ht="15" customHeight="1" s="188">
      <c r="A71" s="234" t="inlineStr">
        <is>
          <t xml:space="preserve">   ils s'ajoutent au prix d'acquisition pour le calcul de la plus-value)</t>
        </is>
      </c>
    </row>
    <row r="72" ht="15" customHeight="1" s="188">
      <c r="A72" s="225" t="inlineStr">
        <is>
          <t>Autres charges déductibles (assurance GLI, comptable, frais divers)</t>
        </is>
      </c>
      <c r="B72" s="226" t="n">
        <v>0</v>
      </c>
    </row>
    <row r="73" ht="15" customHeight="1" s="188">
      <c r="A73" s="229" t="inlineStr">
        <is>
          <t>TOTAL CHARGES DÉDUCTIBLES</t>
        </is>
      </c>
      <c r="B73" s="230">
        <f>B63+B64+B65+B66+B67+B68+B69+B72</f>
        <v/>
      </c>
    </row>
    <row r="74" ht="15" customHeight="1" s="188">
      <c r="A74" s="237" t="inlineStr">
        <is>
          <t xml:space="preserve">  dont charges hors intérêts d'emprunt</t>
        </is>
      </c>
      <c r="B74" s="228">
        <f>B73-B63</f>
        <v/>
      </c>
    </row>
    <row r="76" ht="15" customHeight="1" s="188">
      <c r="A76" s="229" t="inlineStr">
        <is>
          <t>Résultat foncier (revenus - charges déductibles)</t>
        </is>
      </c>
      <c r="B76" s="230">
        <f>B60-B73</f>
        <v/>
      </c>
    </row>
    <row r="77" ht="15" customHeight="1" s="188">
      <c r="A77" s="225" t="inlineStr">
        <is>
          <t>Statut</t>
        </is>
      </c>
      <c r="B77" s="238">
        <f>IF(B76&gt;=0,"Bénéfice foncier","Déficit foncier")</f>
        <v/>
      </c>
    </row>
    <row r="79" ht="15" customHeight="1" s="188">
      <c r="A79" s="236" t="inlineStr">
        <is>
          <t>Imputation du déficit / imposition :</t>
        </is>
      </c>
    </row>
    <row r="80" ht="15" customHeight="1" s="188">
      <c r="A80" s="225" t="inlineStr">
        <is>
          <t>Taux marginal d'imposition (TMI)</t>
        </is>
      </c>
      <c r="B80" s="227" t="n">
        <v>0.3</v>
      </c>
    </row>
    <row r="81" ht="15" customHeight="1" s="188">
      <c r="A81" s="225" t="inlineStr">
        <is>
          <t>Prélèvements sociaux</t>
        </is>
      </c>
      <c r="B81" s="227" t="n">
        <v>0.172</v>
      </c>
    </row>
    <row r="82" ht="15" customHeight="1" s="188">
      <c r="A82" s="225" t="inlineStr">
        <is>
          <t>Plafond annuel d'imputation sur le revenu global</t>
        </is>
      </c>
      <c r="B82" s="226" t="n">
        <v>10700</v>
      </c>
    </row>
    <row r="83" ht="15" customHeight="1" s="188">
      <c r="A83" s="234" t="inlineStr">
        <is>
          <t xml:space="preserve">  (10 700 € en général ; 21 400 € pour travaux de rénovation énergétique sur passoire</t>
        </is>
      </c>
    </row>
    <row r="84" ht="15" customHeight="1" s="188">
      <c r="A84" s="234" t="inlineStr">
        <is>
          <t xml:space="preserve">   thermique, sous conditions et selon la période — à vérifier chaque année)</t>
        </is>
      </c>
    </row>
    <row r="85" ht="15" customHeight="1" s="188">
      <c r="A85" s="225" t="inlineStr">
        <is>
          <t>Déficit hors intérêts (imputable sur revenu global)</t>
        </is>
      </c>
      <c r="B85" s="228">
        <f>MAX(0,B74-B60)</f>
        <v/>
      </c>
    </row>
    <row r="86" ht="15" customHeight="1" s="188">
      <c r="A86" s="229" t="inlineStr">
        <is>
          <t>Déficit imputé sur le revenu global (année)</t>
        </is>
      </c>
      <c r="B86" s="230">
        <f>MIN(B85,B82)</f>
        <v/>
      </c>
    </row>
    <row r="87" ht="15" customHeight="1" s="188">
      <c r="A87" s="225" t="inlineStr">
        <is>
          <t>Économie d'impôt liée au déficit imputé (× TMI)</t>
        </is>
      </c>
      <c r="B87" s="228">
        <f>B86*B80</f>
        <v/>
      </c>
    </row>
    <row r="88" ht="15" customHeight="1" s="188">
      <c r="A88" s="225" t="inlineStr">
        <is>
          <t>Déficit reporté sur revenus fonciers des 10 années suivantes</t>
        </is>
      </c>
      <c r="B88" s="228">
        <f>MAX(0,B85-B82)+IF(B76&lt;0,B63,0)</f>
        <v/>
      </c>
    </row>
    <row r="89" ht="15" customHeight="1" s="188">
      <c r="A89" s="225" t="inlineStr">
        <is>
          <t>Revenu foncier net imposable (si bénéfice)</t>
        </is>
      </c>
      <c r="B89" s="228">
        <f>MAX(0,B76)</f>
        <v/>
      </c>
    </row>
    <row r="90" ht="15" customHeight="1" s="188">
      <c r="A90" s="223" t="inlineStr">
        <is>
          <t>IMPÔT DÛ SUR REVENUS FONCIERS (si bénéfice)</t>
        </is>
      </c>
      <c r="B90" s="235">
        <f>B89*(B80+B81)</f>
        <v/>
      </c>
    </row>
    <row r="91" ht="15" customHeight="1" s="188">
      <c r="A91" s="239" t="inlineStr">
        <is>
          <t>GAIN FISCAL NET DE L'ANNÉE (économie déficit - impôt dû)</t>
        </is>
      </c>
      <c r="B91" s="240">
        <f>B87-B90</f>
        <v/>
      </c>
    </row>
    <row r="93" ht="15" customHeight="1" s="188">
      <c r="A93" s="241" t="inlineStr">
        <is>
          <t>Notes fiscalité :</t>
        </is>
      </c>
    </row>
    <row r="94" ht="15" customHeight="1" s="188">
      <c r="A94" s="234" t="inlineStr">
        <is>
          <t>- Modèle simplifié (location nue, régime réel). Ne couvre pas le LMNP/LMP (amortissement du bien),</t>
        </is>
      </c>
    </row>
    <row r="95" ht="15" customHeight="1" s="188">
      <c r="A95" s="234" t="inlineStr">
        <is>
          <t xml:space="preserve">  le déficit foncier n'existe qu'en location nue, pas en meublé.</t>
        </is>
      </c>
    </row>
    <row r="96" ht="15" customHeight="1" s="188">
      <c r="A96" s="234" t="inlineStr">
        <is>
          <t>- Le déficit lié aux intérêts d'emprunt n'est jamais imputable sur le revenu global : il ne s'impute</t>
        </is>
      </c>
    </row>
    <row r="97" ht="15" customHeight="1" s="188">
      <c r="A97" s="234" t="inlineStr">
        <is>
          <t xml:space="preserve">  que sur des revenus fonciers futurs (10 ans).</t>
        </is>
      </c>
    </row>
    <row r="98" ht="15" customHeight="1" s="188">
      <c r="A98" s="234" t="inlineStr">
        <is>
          <t>- L'imputation du déficit sur le revenu global oblige à louer le bien nu pendant les 3 années suivantes.</t>
        </is>
      </c>
    </row>
    <row r="99" ht="15" customHeight="1" s="188">
      <c r="A99" s="234" t="inlineStr">
        <is>
          <t>- Les intérêts sont estimés sur l'année 1 du prêt (ils diminuent chaque année) : à réactualiser.</t>
        </is>
      </c>
    </row>
    <row r="100" ht="15" customHeight="1" s="188">
      <c r="A100" s="234" t="inlineStr">
        <is>
          <t>- Vérifiez chaque année les plafonds et taux en vigueur (loi de finances).</t>
        </is>
      </c>
    </row>
  </sheetData>
  <mergeCells count="1">
    <mergeCell ref="A1:E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5:AR84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E24" activeCellId="0" sqref="E24"/>
    </sheetView>
  </sheetViews>
  <sheetFormatPr baseColWidth="8" defaultColWidth="10.6796875" defaultRowHeight="15" zeroHeight="0" outlineLevelRow="0"/>
  <cols>
    <col width="7.57" customWidth="1" style="187" min="2" max="2"/>
    <col width="18.29" customWidth="1" style="187" min="3" max="3"/>
    <col width="5" customWidth="1" style="187" min="4" max="4"/>
    <col width="13" customWidth="1" style="187" min="5" max="5"/>
    <col width="10.57" customWidth="1" style="187" min="6" max="6"/>
    <col width="12.29" customWidth="1" style="187" min="7" max="7"/>
    <col width="8.42" customWidth="1" style="187" min="8" max="8"/>
    <col width="18" customWidth="1" style="187" min="11" max="11"/>
    <col width="8" customWidth="1" style="187" min="12" max="12"/>
    <col width="6" customWidth="1" style="187" min="13" max="13"/>
    <col width="5" customWidth="1" style="187" min="14" max="14"/>
    <col width="7" customWidth="1" style="187" min="15" max="15"/>
    <col width="9.57" customWidth="1" style="187" min="16" max="17"/>
    <col width="6.57" customWidth="1" style="187" min="18" max="18"/>
    <col width="9.57" customWidth="1" style="187" min="19" max="20"/>
    <col width="8" customWidth="1" style="187" min="21" max="21"/>
    <col width="6.57" customWidth="1" style="187" min="22" max="22"/>
    <col width="5" customWidth="1" style="187" min="23" max="23"/>
    <col width="6" customWidth="1" style="187" min="24" max="24"/>
    <col width="5.71" customWidth="1" style="187" min="25" max="25"/>
    <col width="7.57" customWidth="1" style="187" min="26" max="26"/>
    <col width="6.57" customWidth="1" style="187" min="27" max="27"/>
    <col width="8.57" customWidth="1" style="187" min="28" max="28"/>
    <col width="10.85" customWidth="1" style="187" min="29" max="29"/>
    <col width="10.14" customWidth="1" style="187" min="30" max="30"/>
    <col width="8" customWidth="1" style="187" min="31" max="31"/>
    <col width="5" customWidth="1" style="187" min="32" max="32"/>
    <col width="7" customWidth="1" style="187" min="33" max="33"/>
    <col width="6.57" customWidth="1" style="187" min="34" max="34"/>
    <col width="6.14" customWidth="1" style="187" min="35" max="36"/>
    <col width="5" customWidth="1" style="187" min="37" max="37"/>
    <col width="7.71" customWidth="1" style="187" min="38" max="38"/>
    <col width="6.85" customWidth="1" style="187" min="39" max="39"/>
    <col width="4.86" customWidth="1" style="187" min="40" max="40"/>
    <col width="9.710000000000001" customWidth="1" style="187" min="41" max="41"/>
    <col width="7.86" customWidth="1" style="187" min="42" max="42"/>
  </cols>
  <sheetData>
    <row r="4" ht="15.75" customHeight="1" s="188"/>
    <row r="5" ht="15.75" customHeight="1" s="188">
      <c r="E5" s="220" t="n"/>
      <c r="F5" s="220" t="n"/>
      <c r="G5" s="220" t="n"/>
      <c r="H5" s="220" t="n"/>
      <c r="V5" s="220" t="n"/>
      <c r="Z5" s="220" t="n"/>
      <c r="AA5" s="220" t="n"/>
      <c r="AB5" s="220" t="n"/>
      <c r="AL5" s="242" t="inlineStr">
        <is>
          <t>Livret A</t>
        </is>
      </c>
      <c r="AM5" s="243" t="n"/>
      <c r="AN5" s="243" t="n"/>
      <c r="AO5" s="243" t="inlineStr">
        <is>
          <t>+</t>
        </is>
      </c>
      <c r="AP5" s="244" t="n">
        <v>1500</v>
      </c>
    </row>
    <row r="6" ht="15" customHeight="1" s="188">
      <c r="E6" s="220" t="n"/>
      <c r="F6" s="220" t="n"/>
      <c r="G6" s="220" t="n"/>
      <c r="H6" s="220" t="n"/>
      <c r="V6" s="220" t="n"/>
      <c r="Y6" s="220" t="n"/>
      <c r="Z6" s="220" t="n"/>
      <c r="AA6" s="220" t="n"/>
      <c r="AB6" s="220" t="n"/>
      <c r="AL6" s="245" t="n"/>
      <c r="AO6" s="187" t="inlineStr">
        <is>
          <t>-</t>
        </is>
      </c>
      <c r="AP6" s="246" t="n">
        <v>1100</v>
      </c>
    </row>
    <row r="7" ht="15.75" customHeight="1" s="188">
      <c r="E7" s="220" t="n"/>
      <c r="F7" s="220" t="n"/>
      <c r="G7" s="247" t="n"/>
      <c r="H7" s="220" t="n"/>
      <c r="V7" s="220" t="n"/>
      <c r="Y7" s="220" t="n"/>
      <c r="Z7" s="220" t="n"/>
      <c r="AA7" s="220" t="n"/>
      <c r="AB7" s="220" t="n"/>
      <c r="AL7" s="245" t="n"/>
      <c r="AM7" s="248" t="inlineStr">
        <is>
          <t>chiffre</t>
        </is>
      </c>
      <c r="AN7" s="249" t="inlineStr">
        <is>
          <t>taux</t>
        </is>
      </c>
      <c r="AO7" s="249" t="inlineStr">
        <is>
          <t>quinzaine</t>
        </is>
      </c>
      <c r="AP7" s="250" t="inlineStr">
        <is>
          <t>résultat</t>
        </is>
      </c>
    </row>
    <row r="8" ht="16.5" customHeight="1" s="188">
      <c r="B8" s="251" t="inlineStr">
        <is>
          <t>Actions</t>
        </is>
      </c>
      <c r="C8" s="243" t="n"/>
      <c r="D8" s="243" t="n"/>
      <c r="E8" s="252" t="n"/>
      <c r="F8" s="252" t="n"/>
      <c r="G8" s="220" t="n"/>
      <c r="H8" s="252" t="n"/>
      <c r="I8" s="244" t="n"/>
      <c r="AL8" s="245" t="n"/>
      <c r="AM8" s="253" t="n">
        <v>8000</v>
      </c>
      <c r="AN8" s="254" t="n">
        <v>2.4</v>
      </c>
      <c r="AO8" s="254" t="n">
        <v>1</v>
      </c>
      <c r="AP8" s="255">
        <f>AM8*(AN8/100)*AO8/24</f>
        <v/>
      </c>
    </row>
    <row r="9" ht="15.75" customHeight="1" s="188">
      <c r="B9" s="245" t="n"/>
      <c r="E9" s="220" t="n"/>
      <c r="F9" s="220" t="n"/>
      <c r="G9" s="220" t="n"/>
      <c r="H9" s="220" t="n"/>
      <c r="I9" s="246" t="n"/>
      <c r="K9" s="251" t="inlineStr">
        <is>
          <t>Rentabliité Actions</t>
        </is>
      </c>
      <c r="L9" s="243" t="n"/>
      <c r="M9" s="243" t="n"/>
      <c r="N9" s="243" t="n"/>
      <c r="O9" s="243" t="n"/>
      <c r="P9" s="243" t="n"/>
      <c r="Q9" s="243" t="n"/>
      <c r="R9" s="243" t="n"/>
      <c r="S9" s="243" t="n"/>
      <c r="T9" s="243" t="n"/>
      <c r="U9" s="243" t="n"/>
      <c r="V9" s="243" t="n"/>
      <c r="W9" s="243" t="n"/>
      <c r="X9" s="243" t="n"/>
      <c r="Y9" s="243" t="n"/>
      <c r="Z9" s="243" t="n"/>
      <c r="AA9" s="243" t="n"/>
      <c r="AB9" s="244" t="n"/>
      <c r="AD9" s="187" t="inlineStr">
        <is>
          <t>somme an</t>
        </is>
      </c>
      <c r="AE9" s="187" t="n">
        <v>48000</v>
      </c>
      <c r="AL9" s="245" t="n"/>
      <c r="AP9" s="246" t="n"/>
    </row>
    <row r="10" ht="15" customHeight="1" s="188">
      <c r="B10" s="245" t="n"/>
      <c r="E10" s="220" t="n"/>
      <c r="F10" s="220" t="n"/>
      <c r="G10" s="220" t="n"/>
      <c r="H10" s="220" t="n"/>
      <c r="I10" s="246" t="n"/>
      <c r="K10" s="245" t="n"/>
      <c r="AB10" s="246" t="n"/>
      <c r="AD10" s="187" t="inlineStr">
        <is>
          <t>pourcent</t>
        </is>
      </c>
      <c r="AE10" s="187" t="n">
        <v>5</v>
      </c>
      <c r="AL10" s="245" t="n"/>
      <c r="AM10" s="253" t="n">
        <v>15200</v>
      </c>
      <c r="AN10" s="253" t="n">
        <v>1</v>
      </c>
      <c r="AO10" s="253" t="n">
        <v>1</v>
      </c>
      <c r="AP10" s="256">
        <f>AM10*($AN$8/100)*$AO$8/24</f>
        <v/>
      </c>
      <c r="AQ10" s="187">
        <f>AP10</f>
        <v/>
      </c>
    </row>
    <row r="11" ht="15" customHeight="1" s="188">
      <c r="B11" s="245" t="n"/>
      <c r="C11" s="187" t="inlineStr">
        <is>
          <t>ajout par mois</t>
        </is>
      </c>
      <c r="D11" s="187" t="n">
        <v>75</v>
      </c>
      <c r="I11" s="246" t="n"/>
      <c r="K11" s="257" t="inlineStr">
        <is>
          <t>somme a ajouter</t>
        </is>
      </c>
      <c r="L11" s="187" t="n">
        <v>500</v>
      </c>
      <c r="AB11" s="246" t="n"/>
      <c r="AD11" s="187" t="inlineStr">
        <is>
          <t>res</t>
        </is>
      </c>
      <c r="AE11" s="187">
        <f>AE9/AE10</f>
        <v/>
      </c>
      <c r="AL11" s="245">
        <f>SUM(AP10:AP33)</f>
        <v/>
      </c>
      <c r="AM11" s="253" t="n">
        <v>15200</v>
      </c>
      <c r="AN11" s="253" t="n">
        <v>1</v>
      </c>
      <c r="AO11" s="253">
        <f>AO10+1</f>
        <v/>
      </c>
      <c r="AP11" s="256">
        <f>AM11*($AN$8/100)*$AO$8/24</f>
        <v/>
      </c>
      <c r="AQ11" s="187">
        <f>AP11+AQ10</f>
        <v/>
      </c>
    </row>
    <row r="12" ht="15" customHeight="1" s="188">
      <c r="B12" s="245" t="n"/>
      <c r="C12" s="187" t="inlineStr">
        <is>
          <t>div augmente %/an</t>
        </is>
      </c>
      <c r="D12" s="187" t="n">
        <v>5.8</v>
      </c>
      <c r="F12" s="187" t="inlineStr">
        <is>
          <t>Prix Action</t>
        </is>
      </c>
      <c r="G12" s="187" t="n">
        <v>74</v>
      </c>
      <c r="I12" s="246" t="n"/>
      <c r="K12" s="245" t="n"/>
      <c r="P12" s="220">
        <f>SUM(P14:P26)</f>
        <v/>
      </c>
      <c r="Q12" s="220">
        <f>SUM(Q14:Q25)</f>
        <v/>
      </c>
      <c r="R12" s="220">
        <f>SUM(R14:R25)</f>
        <v/>
      </c>
      <c r="S12" s="220" t="n"/>
      <c r="AB12" s="246" t="n"/>
      <c r="AL12" s="258">
        <f>(AM12-AM11)-(AM12-AM13)</f>
        <v/>
      </c>
      <c r="AM12" s="253" t="n">
        <v>15200</v>
      </c>
      <c r="AN12" s="253" t="n">
        <v>2</v>
      </c>
      <c r="AO12" s="253">
        <f>AO11+1</f>
        <v/>
      </c>
      <c r="AP12" s="256">
        <f>AM12*($AN$8/100)*$AO$8/24</f>
        <v/>
      </c>
      <c r="AQ12" s="187">
        <f>AP12+AQ11</f>
        <v/>
      </c>
    </row>
    <row r="13" ht="15" customHeight="1" s="188">
      <c r="B13" s="245" t="n"/>
      <c r="C13" s="187" t="inlineStr">
        <is>
          <t xml:space="preserve">div </t>
        </is>
      </c>
      <c r="D13" s="187" t="n">
        <v>0.9</v>
      </c>
      <c r="F13" s="187" t="inlineStr">
        <is>
          <t>div Time</t>
        </is>
      </c>
      <c r="G13" s="187" t="n">
        <v>4</v>
      </c>
      <c r="I13" s="246" t="n"/>
      <c r="K13" s="259" t="inlineStr">
        <is>
          <t>Actions</t>
        </is>
      </c>
      <c r="L13" s="248" t="inlineStr">
        <is>
          <t>NB</t>
        </is>
      </c>
      <c r="M13" s="248" t="inlineStr">
        <is>
          <t>Prix</t>
        </is>
      </c>
      <c r="N13" s="248" t="inlineStr">
        <is>
          <t>div</t>
        </is>
      </c>
      <c r="O13" s="248" t="inlineStr">
        <is>
          <t>PRU</t>
        </is>
      </c>
      <c r="P13" s="248" t="inlineStr">
        <is>
          <t>Div €</t>
        </is>
      </c>
      <c r="Q13" s="248" t="inlineStr">
        <is>
          <t>Trimestre</t>
        </is>
      </c>
      <c r="R13" s="260" t="inlineStr">
        <is>
          <t>Mois</t>
        </is>
      </c>
      <c r="S13" s="248" t="inlineStr">
        <is>
          <t>Renta %</t>
        </is>
      </c>
      <c r="T13" s="248" t="inlineStr">
        <is>
          <t>Total</t>
        </is>
      </c>
      <c r="U13" s="248" t="inlineStr">
        <is>
          <t>PV</t>
        </is>
      </c>
      <c r="V13" s="248" t="n"/>
      <c r="W13" s="248" t="inlineStr">
        <is>
          <t>NNb</t>
        </is>
      </c>
      <c r="X13" s="248" t="inlineStr">
        <is>
          <t>NNbT</t>
        </is>
      </c>
      <c r="Y13" s="248" t="inlineStr">
        <is>
          <t>Prix</t>
        </is>
      </c>
      <c r="Z13" s="248" t="inlineStr">
        <is>
          <t>NPRU</t>
        </is>
      </c>
      <c r="AA13" s="248" t="inlineStr">
        <is>
          <t>Div €</t>
        </is>
      </c>
      <c r="AB13" s="261" t="inlineStr">
        <is>
          <t>Nrenta</t>
        </is>
      </c>
      <c r="AL13" s="201" t="n"/>
      <c r="AM13" s="253" t="n">
        <v>14200</v>
      </c>
      <c r="AN13" s="253" t="n">
        <v>2</v>
      </c>
      <c r="AO13" s="253">
        <f>AO12+1</f>
        <v/>
      </c>
      <c r="AP13" s="256">
        <f>AM13*($AN$8/100)*$AO$8/24</f>
        <v/>
      </c>
      <c r="AQ13" s="187">
        <f>AP13+AQ12</f>
        <v/>
      </c>
    </row>
    <row r="14" ht="15" customHeight="1" s="188">
      <c r="B14" s="259" t="inlineStr">
        <is>
          <t>Année</t>
        </is>
      </c>
      <c r="C14" s="248" t="inlineStr">
        <is>
          <t>Trimestre</t>
        </is>
      </c>
      <c r="D14" s="248" t="inlineStr">
        <is>
          <t>div</t>
        </is>
      </c>
      <c r="E14" s="248" t="inlineStr">
        <is>
          <t xml:space="preserve">euros </t>
        </is>
      </c>
      <c r="F14" s="248" t="inlineStr">
        <is>
          <t>Action</t>
        </is>
      </c>
      <c r="G14" s="262" t="inlineStr">
        <is>
          <t>Triemestre R</t>
        </is>
      </c>
      <c r="H14" s="263" t="inlineStr">
        <is>
          <t>Année R</t>
        </is>
      </c>
      <c r="I14" s="261" t="inlineStr">
        <is>
          <t>Mois R</t>
        </is>
      </c>
      <c r="K14" s="264" t="inlineStr">
        <is>
          <t>total</t>
        </is>
      </c>
      <c r="L14" s="254" t="n">
        <v>151</v>
      </c>
      <c r="M14" s="254" t="n">
        <v>76.5</v>
      </c>
      <c r="N14" s="254" t="n">
        <v>3.6</v>
      </c>
      <c r="O14" s="254" t="n">
        <v>74.88</v>
      </c>
      <c r="P14" s="265">
        <f>L14*N14</f>
        <v/>
      </c>
      <c r="Q14" s="265">
        <f>P14/4</f>
        <v/>
      </c>
      <c r="R14" s="265">
        <f>P14/12</f>
        <v/>
      </c>
      <c r="S14" s="265">
        <f>N14/O14*100</f>
        <v/>
      </c>
      <c r="T14" s="265">
        <f>L14*M14</f>
        <v/>
      </c>
      <c r="U14" s="265">
        <f>T14-(L14*O14)</f>
        <v/>
      </c>
      <c r="V14" s="265" t="n"/>
      <c r="W14" s="266">
        <f>ROUNDDOWN($L$11/M14,0)</f>
        <v/>
      </c>
      <c r="X14" s="266">
        <f>W14+L14</f>
        <v/>
      </c>
      <c r="Y14" s="266">
        <f>M14</f>
        <v/>
      </c>
      <c r="Z14" s="265">
        <f>((L14*O14)+(W14*Y14))/(W14+L14)</f>
        <v/>
      </c>
      <c r="AA14" s="265">
        <f>X14*N14</f>
        <v/>
      </c>
      <c r="AB14" s="267">
        <f>N14/Z14*100</f>
        <v/>
      </c>
      <c r="AL14" s="258">
        <f>(AM14-AM13)-(AM14-AM15)</f>
        <v/>
      </c>
      <c r="AM14" s="253">
        <f>AM13+$AP$5</f>
        <v/>
      </c>
      <c r="AN14" s="253" t="n">
        <v>3</v>
      </c>
      <c r="AO14" s="253">
        <f>AO13+1</f>
        <v/>
      </c>
      <c r="AP14" s="256">
        <f>AM14*($AN$8/100)*$AO$8/24</f>
        <v/>
      </c>
      <c r="AQ14" s="187">
        <f>AP14+AQ13</f>
        <v/>
      </c>
      <c r="AR14" s="187" t="n">
        <v>94.33</v>
      </c>
    </row>
    <row r="15" ht="15" customHeight="1" s="188">
      <c r="B15" s="268" t="n">
        <v>1</v>
      </c>
      <c r="C15" s="269" t="n">
        <v>1</v>
      </c>
      <c r="D15" s="270">
        <f>$D$13</f>
        <v/>
      </c>
      <c r="E15" s="270">
        <f>F15*G12</f>
        <v/>
      </c>
      <c r="F15" s="271" t="n">
        <v>150</v>
      </c>
      <c r="G15" s="272">
        <f>IF($G$13=4,F15*D15,0)</f>
        <v/>
      </c>
      <c r="H15" s="273">
        <f>IF($G$13=4,SUM(G15:G18),D15*F15)</f>
        <v/>
      </c>
      <c r="I15" s="274">
        <f>G15/3</f>
        <v/>
      </c>
      <c r="K15" s="264" t="inlineStr">
        <is>
          <t>Pernod R</t>
        </is>
      </c>
      <c r="L15" s="254" t="n">
        <v>15</v>
      </c>
      <c r="M15" s="254" t="n">
        <v>68</v>
      </c>
      <c r="N15" s="254" t="n">
        <v>2.35</v>
      </c>
      <c r="O15" s="254" t="n">
        <v>68</v>
      </c>
      <c r="P15" s="265">
        <f>L15*N15</f>
        <v/>
      </c>
      <c r="Q15" s="265">
        <f>P15/4</f>
        <v/>
      </c>
      <c r="R15" s="265">
        <f>P15/12</f>
        <v/>
      </c>
      <c r="S15" s="265">
        <f>N15/O15*100</f>
        <v/>
      </c>
      <c r="T15" s="265">
        <f>L15*M15</f>
        <v/>
      </c>
      <c r="U15" s="265">
        <f>T15-(L15*O15)</f>
        <v/>
      </c>
      <c r="V15" s="265" t="n"/>
      <c r="W15" s="266">
        <f>ROUNDDOWN($L$11/M15,0)</f>
        <v/>
      </c>
      <c r="X15" s="266">
        <f>W15+L15</f>
        <v/>
      </c>
      <c r="Y15" s="266">
        <f>M15</f>
        <v/>
      </c>
      <c r="Z15" s="265">
        <f>((L15*O15)+(W15*Y15))/(W15+L15)</f>
        <v/>
      </c>
      <c r="AA15" s="265">
        <f>X15*N15</f>
        <v/>
      </c>
      <c r="AB15" s="267">
        <f>N15/Z15*100</f>
        <v/>
      </c>
      <c r="AL15" s="201" t="n"/>
      <c r="AM15" s="253">
        <f>AM14-AP6</f>
        <v/>
      </c>
      <c r="AN15" s="253" t="n">
        <v>3</v>
      </c>
      <c r="AO15" s="253">
        <f>AO14+1</f>
        <v/>
      </c>
      <c r="AP15" s="256">
        <f>AM15*($AN$8/100)*$AO$8/24</f>
        <v/>
      </c>
      <c r="AQ15" s="187">
        <f>AP15+AQ14</f>
        <v/>
      </c>
      <c r="AR15" s="187" t="n">
        <v>112.58</v>
      </c>
    </row>
    <row r="16" ht="15" customHeight="1" s="188">
      <c r="B16" s="275" t="n"/>
      <c r="C16" s="203" t="n">
        <v>2</v>
      </c>
      <c r="D16" s="276">
        <f>$D$13</f>
        <v/>
      </c>
      <c r="E16" s="276">
        <f>E15+G15+(3*$D$11)</f>
        <v/>
      </c>
      <c r="F16" s="277">
        <f>ROUNDDOWN(E16/$G$12,0)</f>
        <v/>
      </c>
      <c r="G16" s="278">
        <f>IF($G$13=4,F16*D16,0)</f>
        <v/>
      </c>
      <c r="H16" s="279" t="n"/>
      <c r="I16" s="274">
        <f>G16/3</f>
        <v/>
      </c>
      <c r="K16" s="264" t="inlineStr">
        <is>
          <t>sanofi</t>
        </is>
      </c>
      <c r="L16" s="254" t="n">
        <v>7</v>
      </c>
      <c r="M16" s="254" t="n">
        <v>75</v>
      </c>
      <c r="N16" s="254" t="n">
        <v>3.56</v>
      </c>
      <c r="O16" s="254" t="n">
        <v>79.73999999999999</v>
      </c>
      <c r="P16" s="265">
        <f>L16*N16</f>
        <v/>
      </c>
      <c r="Q16" s="265">
        <f>P16/4</f>
        <v/>
      </c>
      <c r="R16" s="265">
        <f>P16/12</f>
        <v/>
      </c>
      <c r="S16" s="265">
        <f>N16/O16*100</f>
        <v/>
      </c>
      <c r="T16" s="265">
        <f>L16*M16</f>
        <v/>
      </c>
      <c r="U16" s="265">
        <f>T16-(L16*O16)</f>
        <v/>
      </c>
      <c r="V16" s="265" t="n"/>
      <c r="W16" s="266">
        <f>ROUNDDOWN($L$11/M16,0)</f>
        <v/>
      </c>
      <c r="X16" s="266">
        <f>W16+L16</f>
        <v/>
      </c>
      <c r="Y16" s="266">
        <f>M16</f>
        <v/>
      </c>
      <c r="Z16" s="265">
        <f>((L16*O16)+(W16*Y16))/(W16+L16)</f>
        <v/>
      </c>
      <c r="AA16" s="265">
        <f>X16*N16</f>
        <v/>
      </c>
      <c r="AB16" s="267">
        <f>N16/Z16*100</f>
        <v/>
      </c>
      <c r="AL16" s="258">
        <f>(AM16-AM15)-(AM16-AM17)</f>
        <v/>
      </c>
      <c r="AM16" s="253">
        <f>AM15+$AP$5+300</f>
        <v/>
      </c>
      <c r="AN16" s="253" t="n">
        <v>4</v>
      </c>
      <c r="AO16" s="253">
        <f>AO15+1</f>
        <v/>
      </c>
      <c r="AP16" s="256">
        <f>AM16*($AN$8/100)*$AO$8/24</f>
        <v/>
      </c>
      <c r="AQ16" s="187">
        <f>AP16+AQ15</f>
        <v/>
      </c>
      <c r="AR16" s="187" t="n">
        <v>133.08</v>
      </c>
    </row>
    <row r="17" ht="15" customHeight="1" s="188">
      <c r="B17" s="275" t="n"/>
      <c r="C17" s="203" t="n">
        <v>3</v>
      </c>
      <c r="D17" s="276">
        <f>$D$13</f>
        <v/>
      </c>
      <c r="E17" s="276">
        <f>E16+G16+(3*$D$11)</f>
        <v/>
      </c>
      <c r="F17" s="277">
        <f>ROUNDDOWN(E17/$G$12,0)</f>
        <v/>
      </c>
      <c r="G17" s="278">
        <f>IF($G$13=4,F17*D17,0)</f>
        <v/>
      </c>
      <c r="H17" s="279" t="n"/>
      <c r="I17" s="274">
        <f>G17/3</f>
        <v/>
      </c>
      <c r="K17" s="264" t="inlineStr">
        <is>
          <t>LVMH</t>
        </is>
      </c>
      <c r="L17" s="254" t="n">
        <v>0</v>
      </c>
      <c r="M17" s="254" t="n">
        <v>474</v>
      </c>
      <c r="N17" s="254" t="n">
        <v>13</v>
      </c>
      <c r="O17" s="254" t="n">
        <v>501.19</v>
      </c>
      <c r="P17" s="265">
        <f>L17*N17</f>
        <v/>
      </c>
      <c r="Q17" s="265">
        <f>P17/4</f>
        <v/>
      </c>
      <c r="R17" s="265">
        <f>P17/12</f>
        <v/>
      </c>
      <c r="S17" s="265">
        <f>N17/O17*100</f>
        <v/>
      </c>
      <c r="T17" s="265">
        <f>L17*M17</f>
        <v/>
      </c>
      <c r="U17" s="265">
        <f>T17-(L17*O17)</f>
        <v/>
      </c>
      <c r="V17" s="265" t="n"/>
      <c r="W17" s="266">
        <f>ROUNDDOWN($L$11/M17,0)</f>
        <v/>
      </c>
      <c r="X17" s="266">
        <f>W17+L17</f>
        <v/>
      </c>
      <c r="Y17" s="266">
        <f>M17</f>
        <v/>
      </c>
      <c r="Z17" s="265">
        <f>((L17*O17)+(W17*Y17))/(W17+L17)</f>
        <v/>
      </c>
      <c r="AA17" s="265">
        <f>X17*N17</f>
        <v/>
      </c>
      <c r="AB17" s="267">
        <f>N17/Z17*100</f>
        <v/>
      </c>
      <c r="AL17" s="201" t="n"/>
      <c r="AM17" s="253">
        <f>AM16-$AP$6+100</f>
        <v/>
      </c>
      <c r="AN17" s="253" t="n">
        <v>4</v>
      </c>
      <c r="AO17" s="253">
        <f>AO16+1</f>
        <v/>
      </c>
      <c r="AP17" s="256">
        <f>AM17*($AN$8/100)*$AO$8/24</f>
        <v/>
      </c>
      <c r="AQ17" s="187">
        <f>AP17+AQ16</f>
        <v/>
      </c>
      <c r="AR17" s="187" t="n">
        <v>152.33</v>
      </c>
    </row>
    <row r="18" ht="15" customHeight="1" s="188">
      <c r="B18" s="275" t="n"/>
      <c r="C18" s="203" t="n">
        <v>4</v>
      </c>
      <c r="D18" s="276">
        <f>$D$13</f>
        <v/>
      </c>
      <c r="E18" s="276">
        <f>E17+G17+(3*$D$11)</f>
        <v/>
      </c>
      <c r="F18" s="277">
        <f>ROUNDDOWN(E18/$G$12,0)</f>
        <v/>
      </c>
      <c r="G18" s="278">
        <f>IF($G$13=4,F18*D18,0)</f>
        <v/>
      </c>
      <c r="H18" s="279" t="n"/>
      <c r="I18" s="274">
        <f>G18/3</f>
        <v/>
      </c>
      <c r="K18" s="264" t="inlineStr">
        <is>
          <t>ASML</t>
        </is>
      </c>
      <c r="L18" s="254" t="n">
        <v>0</v>
      </c>
      <c r="M18" s="254" t="n">
        <v>636</v>
      </c>
      <c r="N18" s="254" t="n"/>
      <c r="O18" s="254" t="n">
        <v>646.9</v>
      </c>
      <c r="P18" s="265">
        <f>L18*N18</f>
        <v/>
      </c>
      <c r="Q18" s="265">
        <f>P18/4</f>
        <v/>
      </c>
      <c r="R18" s="265">
        <f>P18/12</f>
        <v/>
      </c>
      <c r="S18" s="265" t="n"/>
      <c r="T18" s="265">
        <f>L18*M18</f>
        <v/>
      </c>
      <c r="U18" s="265">
        <f>T18-(L18*O18)</f>
        <v/>
      </c>
      <c r="W18" s="266">
        <f>ROUNDDOWN($L$11/M18,0)</f>
        <v/>
      </c>
      <c r="X18" s="266">
        <f>W18+L18</f>
        <v/>
      </c>
      <c r="AA18" s="265" t="n"/>
      <c r="AB18" s="267" t="n"/>
      <c r="AL18" s="258">
        <f>(AM18-AM17)-(AM18-AM19)</f>
        <v/>
      </c>
      <c r="AM18" s="253">
        <f>AM17+$AP$5+50</f>
        <v/>
      </c>
      <c r="AN18" s="253" t="n">
        <v>5</v>
      </c>
      <c r="AO18" s="253">
        <f>AO17+1</f>
        <v/>
      </c>
      <c r="AP18" s="256">
        <f>AM18*($AN$8/100)*$AO$8/24</f>
        <v/>
      </c>
      <c r="AQ18" s="187">
        <f>AP18+AQ17</f>
        <v/>
      </c>
      <c r="AR18" s="187" t="n">
        <v>173.52</v>
      </c>
    </row>
    <row r="19" ht="15" customHeight="1" s="188">
      <c r="B19" s="275">
        <f>B15+1</f>
        <v/>
      </c>
      <c r="C19" s="203" t="n">
        <v>1</v>
      </c>
      <c r="D19" s="276">
        <f>D15+(D15*$D$12/100)</f>
        <v/>
      </c>
      <c r="E19" s="276">
        <f>E18+G18+(3*$D$11)</f>
        <v/>
      </c>
      <c r="F19" s="277">
        <f>ROUNDDOWN(E19/$G$12,0)</f>
        <v/>
      </c>
      <c r="G19" s="278">
        <f>IF($G$13=4,F19*D19,0)</f>
        <v/>
      </c>
      <c r="H19" s="279">
        <f>IF($G$13=4,SUM(G19:G22),D19*F19)</f>
        <v/>
      </c>
      <c r="I19" s="274">
        <f>G19/3</f>
        <v/>
      </c>
      <c r="R19" s="265" t="n"/>
      <c r="U19" s="265" t="n"/>
      <c r="W19" s="266" t="n"/>
      <c r="X19" s="266" t="n"/>
      <c r="AA19" s="265" t="n"/>
      <c r="AL19" s="201" t="n"/>
      <c r="AM19" s="253">
        <f>AM18-800</f>
        <v/>
      </c>
      <c r="AN19" s="253" t="n">
        <v>5</v>
      </c>
      <c r="AO19" s="253">
        <f>AO18+1</f>
        <v/>
      </c>
      <c r="AP19" s="256">
        <f>AM19*($AN$8/100)*$AO$8/24</f>
        <v/>
      </c>
      <c r="AQ19" s="187">
        <f>AP19+AQ18</f>
        <v/>
      </c>
      <c r="AR19" s="187" t="n">
        <v>193.71</v>
      </c>
    </row>
    <row r="20" ht="15" customHeight="1" s="188">
      <c r="B20" s="275" t="n"/>
      <c r="C20" s="203" t="n">
        <v>2</v>
      </c>
      <c r="D20" s="276">
        <f>D16+(D16*$D$12/100)</f>
        <v/>
      </c>
      <c r="E20" s="276">
        <f>E19+G19+(3*$D$11)</f>
        <v/>
      </c>
      <c r="F20" s="277">
        <f>ROUNDDOWN(E20/$G$12,0)</f>
        <v/>
      </c>
      <c r="G20" s="278">
        <f>IF($G$13=4,F20*D20,0)</f>
        <v/>
      </c>
      <c r="H20" s="279" t="n"/>
      <c r="I20" s="274">
        <f>G20/3</f>
        <v/>
      </c>
      <c r="K20" s="245" t="n"/>
      <c r="P20" s="265" t="n"/>
      <c r="Q20" s="265" t="n"/>
      <c r="R20" s="265" t="n"/>
      <c r="U20" s="265" t="n"/>
      <c r="W20" s="266" t="n"/>
      <c r="X20" s="266" t="n"/>
      <c r="Y20" s="266" t="n"/>
      <c r="Z20" s="254" t="n"/>
      <c r="AA20" s="265" t="n"/>
      <c r="AB20" s="255" t="n"/>
      <c r="AL20" s="258">
        <f>(AM20-AM19)-(AM20-AM21)</f>
        <v/>
      </c>
      <c r="AM20" s="253">
        <f>AM19+1400</f>
        <v/>
      </c>
      <c r="AN20" s="253" t="n">
        <v>6</v>
      </c>
      <c r="AO20" s="253">
        <f>AO19+1</f>
        <v/>
      </c>
      <c r="AP20" s="256">
        <f>AM20*($AN$8/100)*$AO$8/24</f>
        <v/>
      </c>
      <c r="AQ20" s="187">
        <f>AP20+AQ19</f>
        <v/>
      </c>
      <c r="AR20" s="187" t="n">
        <v>213.65</v>
      </c>
    </row>
    <row r="21" ht="15" customHeight="1" s="188">
      <c r="B21" s="275" t="n"/>
      <c r="C21" s="203" t="n">
        <v>3</v>
      </c>
      <c r="D21" s="276">
        <f>D17+(D17*$D$12/100)</f>
        <v/>
      </c>
      <c r="E21" s="276">
        <f>E20+G20+(3*$D$11)</f>
        <v/>
      </c>
      <c r="F21" s="277">
        <f>ROUNDDOWN(E21/$G$12,0)</f>
        <v/>
      </c>
      <c r="G21" s="278">
        <f>IF($G$13=4,F21*D21,0)</f>
        <v/>
      </c>
      <c r="H21" s="279" t="n"/>
      <c r="I21" s="274">
        <f>G21/3</f>
        <v/>
      </c>
      <c r="K21" s="264" t="inlineStr">
        <is>
          <t>ald</t>
        </is>
      </c>
      <c r="L21" s="254" t="n">
        <v>0</v>
      </c>
      <c r="M21" s="254" t="n">
        <v>10</v>
      </c>
      <c r="N21" s="254" t="n">
        <v>0.47</v>
      </c>
      <c r="O21" s="254" t="n">
        <v>10.01</v>
      </c>
      <c r="P21" s="265">
        <f>L21*N21</f>
        <v/>
      </c>
      <c r="Q21" s="265">
        <f>P21/4</f>
        <v/>
      </c>
      <c r="R21" s="265">
        <f>P21/12</f>
        <v/>
      </c>
      <c r="S21" s="265">
        <f>N21/O21*100</f>
        <v/>
      </c>
      <c r="T21" s="265">
        <f>L21*M21</f>
        <v/>
      </c>
      <c r="U21" s="265" t="n"/>
      <c r="V21" s="265" t="n"/>
      <c r="W21" s="266">
        <f>ROUNDDOWN($L$11/M21,0)</f>
        <v/>
      </c>
      <c r="X21" s="266">
        <f>W21+L21</f>
        <v/>
      </c>
      <c r="Y21" s="266">
        <f>M21</f>
        <v/>
      </c>
      <c r="Z21" s="265">
        <f>((L21*O21)+(W21*Y21))/(W21+L21)</f>
        <v/>
      </c>
      <c r="AA21" s="265">
        <f>X21*N21</f>
        <v/>
      </c>
      <c r="AB21" s="267">
        <f>N21/Z21*100</f>
        <v/>
      </c>
      <c r="AL21" s="201" t="n"/>
      <c r="AM21" s="253">
        <f>AM20-$AP$6+100</f>
        <v/>
      </c>
      <c r="AN21" s="253" t="n">
        <v>6</v>
      </c>
      <c r="AO21" s="253">
        <f>AO20+1</f>
        <v/>
      </c>
      <c r="AP21" s="256">
        <f>AM21*($AN$8/100)*$AO$8/24</f>
        <v/>
      </c>
      <c r="AQ21" s="187">
        <f>AP21+AQ20</f>
        <v/>
      </c>
      <c r="AR21" s="187" t="n">
        <v>236.33</v>
      </c>
    </row>
    <row r="22" ht="15" customHeight="1" s="188">
      <c r="B22" s="275" t="n"/>
      <c r="C22" s="203" t="n">
        <v>4</v>
      </c>
      <c r="D22" s="276">
        <f>D18+(D18*$D$12/100)</f>
        <v/>
      </c>
      <c r="E22" s="276">
        <f>E21+G21+(3*$D$11)</f>
        <v/>
      </c>
      <c r="F22" s="277">
        <f>ROUNDDOWN(E22/$G$12,0)</f>
        <v/>
      </c>
      <c r="G22" s="278">
        <f>IF($G$13=4,F22*D22,0)</f>
        <v/>
      </c>
      <c r="H22" s="279" t="n"/>
      <c r="I22" s="274">
        <f>G22/3</f>
        <v/>
      </c>
      <c r="K22" s="264" t="inlineStr">
        <is>
          <t>téléperf</t>
        </is>
      </c>
      <c r="L22" s="254" t="n">
        <v>31</v>
      </c>
      <c r="M22" s="254" t="n">
        <v>55</v>
      </c>
      <c r="N22" s="254" t="n">
        <v>3.85</v>
      </c>
      <c r="O22" s="254" t="n">
        <v>120.45</v>
      </c>
      <c r="P22" s="265">
        <f>L22*N22</f>
        <v/>
      </c>
      <c r="Q22" s="265">
        <f>P22/4</f>
        <v/>
      </c>
      <c r="R22" s="265">
        <f>P22/12</f>
        <v/>
      </c>
      <c r="S22" s="265">
        <f>N22/O22*100</f>
        <v/>
      </c>
      <c r="T22" s="265">
        <f>L22*M22</f>
        <v/>
      </c>
      <c r="U22" s="265">
        <f>T22-(L22*O22)</f>
        <v/>
      </c>
      <c r="V22" s="265" t="n"/>
      <c r="W22" s="266">
        <f>ROUNDDOWN($L$11/M22,0)</f>
        <v/>
      </c>
      <c r="X22" s="266">
        <f>W22+L22</f>
        <v/>
      </c>
      <c r="Y22" s="266">
        <f>M22</f>
        <v/>
      </c>
      <c r="Z22" s="265">
        <f>((L22*O22)+(W22*Y22))/(W22+L22)</f>
        <v/>
      </c>
      <c r="AA22" s="265">
        <f>X22*N22</f>
        <v/>
      </c>
      <c r="AB22" s="267">
        <f>N22/Z22*100</f>
        <v/>
      </c>
      <c r="AL22" s="258">
        <f>(AM22-AM21)-(AM22-AM23)</f>
        <v/>
      </c>
      <c r="AM22" s="253">
        <f>AM21+$AP$5+100</f>
        <v/>
      </c>
      <c r="AN22" s="253" t="n">
        <v>7</v>
      </c>
      <c r="AO22" s="253">
        <f>AO21+1</f>
        <v/>
      </c>
      <c r="AP22" s="256">
        <f>AM22*($AN$8/100)*$AO$8/24</f>
        <v/>
      </c>
      <c r="AQ22" s="187">
        <f>AP22+AQ21</f>
        <v/>
      </c>
      <c r="AR22" s="187" t="n">
        <v>259.03</v>
      </c>
    </row>
    <row r="23" ht="15" customHeight="1" s="188">
      <c r="B23" s="275">
        <f>B19+1</f>
        <v/>
      </c>
      <c r="C23" s="203" t="n">
        <v>1</v>
      </c>
      <c r="D23" s="276">
        <f>D19+(D19*$D$12/100)</f>
        <v/>
      </c>
      <c r="E23" s="276">
        <f>E22+G22+(3*$D$11)</f>
        <v/>
      </c>
      <c r="F23" s="277">
        <f>ROUNDDOWN(E23/$G$12,0)</f>
        <v/>
      </c>
      <c r="G23" s="278">
        <f>IF($G$13=4,F23*D23,0)</f>
        <v/>
      </c>
      <c r="H23" s="279">
        <f>IF($G$13=4,SUM(G23:G26),D23*F23)</f>
        <v/>
      </c>
      <c r="I23" s="274">
        <f>G23/3</f>
        <v/>
      </c>
      <c r="L23" s="254" t="n"/>
      <c r="O23" s="254" t="n"/>
      <c r="S23" s="265" t="n"/>
      <c r="T23" s="265" t="n"/>
      <c r="U23" s="265" t="n"/>
      <c r="W23" s="266" t="n"/>
      <c r="X23" s="266" t="n"/>
      <c r="Y23" s="266" t="n"/>
      <c r="Z23" s="265" t="n"/>
      <c r="AA23" s="265" t="n"/>
      <c r="AB23" s="265" t="n"/>
      <c r="AL23" s="201" t="n"/>
      <c r="AM23" s="253">
        <f>AM22-$AP$6+200</f>
        <v/>
      </c>
      <c r="AN23" s="253" t="n">
        <v>7</v>
      </c>
      <c r="AO23" s="253">
        <f>AO22+1</f>
        <v/>
      </c>
      <c r="AP23" s="256">
        <f>AM23*($AN$8/100)*$AO$8/24</f>
        <v/>
      </c>
      <c r="AQ23" s="187">
        <f>AP23+AQ22</f>
        <v/>
      </c>
      <c r="AR23" s="187" t="n">
        <v>280.59</v>
      </c>
    </row>
    <row r="24" ht="15" customHeight="1" s="188">
      <c r="B24" s="275" t="n"/>
      <c r="C24" s="203" t="n">
        <v>2</v>
      </c>
      <c r="D24" s="276">
        <f>D20+(D20*$D$12/100)</f>
        <v/>
      </c>
      <c r="E24" s="276">
        <f>E23+G23+(3*$D$11)</f>
        <v/>
      </c>
      <c r="F24" s="277">
        <f>ROUNDDOWN(E24/$G$12,0)</f>
        <v/>
      </c>
      <c r="G24" s="278">
        <f>IF($G$13=4,F24*D24,0)</f>
        <v/>
      </c>
      <c r="H24" s="279" t="n"/>
      <c r="I24" s="274">
        <f>G24/3</f>
        <v/>
      </c>
      <c r="K24" s="264" t="n"/>
      <c r="L24" s="254" t="n"/>
      <c r="M24" s="254" t="n"/>
      <c r="N24" s="254" t="n"/>
      <c r="O24" s="254" t="n"/>
      <c r="P24" s="265" t="n"/>
      <c r="Q24" s="265" t="n"/>
      <c r="R24" s="265" t="n"/>
      <c r="S24" s="265" t="n"/>
      <c r="T24" s="265" t="n"/>
      <c r="U24" s="265" t="n"/>
      <c r="V24" s="265" t="n"/>
      <c r="W24" s="266" t="n"/>
      <c r="X24" s="266" t="n"/>
      <c r="Y24" s="266" t="n"/>
      <c r="Z24" s="265" t="n"/>
      <c r="AA24" s="265" t="n"/>
      <c r="AB24" s="267" t="n"/>
      <c r="AL24" s="258">
        <f>(AM24-AM23)-(AM24-AM25)</f>
        <v/>
      </c>
      <c r="AM24" s="253">
        <f>AM23+$AP$5+100</f>
        <v/>
      </c>
      <c r="AN24" s="253" t="n">
        <v>8</v>
      </c>
      <c r="AO24" s="253">
        <f>AO23+1</f>
        <v/>
      </c>
      <c r="AP24" s="256">
        <f>AM24*($AN$8/100)*$AO$8/24</f>
        <v/>
      </c>
      <c r="AQ24" s="187">
        <f>AP24+AQ23</f>
        <v/>
      </c>
      <c r="AR24" s="187" t="n">
        <v>302.9</v>
      </c>
    </row>
    <row r="25" ht="15" customHeight="1" s="188">
      <c r="B25" s="275" t="n"/>
      <c r="C25" s="203" t="n">
        <v>3</v>
      </c>
      <c r="D25" s="276">
        <f>D21+(D21*$D$12/100)</f>
        <v/>
      </c>
      <c r="E25" s="276">
        <f>E24+G24+(3*$D$11)</f>
        <v/>
      </c>
      <c r="F25" s="277">
        <f>ROUNDDOWN(E25/$G$12,0)</f>
        <v/>
      </c>
      <c r="G25" s="278">
        <f>IF($G$13=4,F25*D25,0)</f>
        <v/>
      </c>
      <c r="H25" s="279" t="n"/>
      <c r="I25" s="274">
        <f>G25/3</f>
        <v/>
      </c>
      <c r="K25" s="264" t="inlineStr">
        <is>
          <t>total</t>
        </is>
      </c>
      <c r="L25" s="254" t="n">
        <v>43.65</v>
      </c>
      <c r="M25" s="254">
        <f>M14</f>
        <v/>
      </c>
      <c r="N25" s="254">
        <f>N14</f>
        <v/>
      </c>
      <c r="O25" s="254" t="n">
        <v>43.57</v>
      </c>
      <c r="P25" s="265">
        <f>L25*N25</f>
        <v/>
      </c>
      <c r="Q25" s="265">
        <f>P25/4</f>
        <v/>
      </c>
      <c r="R25" s="265">
        <f>P25/12</f>
        <v/>
      </c>
      <c r="S25" s="265">
        <f>N25/O25*100</f>
        <v/>
      </c>
      <c r="T25" s="265">
        <f>L25*M25</f>
        <v/>
      </c>
      <c r="U25" s="265">
        <f>T25-(L25*O25)</f>
        <v/>
      </c>
      <c r="V25" s="265" t="n"/>
      <c r="W25" s="266">
        <f>ROUNDDOWN($L$11/M25,0)</f>
        <v/>
      </c>
      <c r="X25" s="266">
        <f>W25+L25</f>
        <v/>
      </c>
      <c r="Y25" s="266">
        <f>M25</f>
        <v/>
      </c>
      <c r="Z25" s="265">
        <f>((L25*O25)+(W25*Y25))/(W25+L25)</f>
        <v/>
      </c>
      <c r="AA25" s="265">
        <f>X25*N25</f>
        <v/>
      </c>
      <c r="AB25" s="267">
        <f>N25/Z25*100</f>
        <v/>
      </c>
      <c r="AL25" s="201" t="n"/>
      <c r="AM25" s="253">
        <f>AM24-$AP$6+100</f>
        <v/>
      </c>
      <c r="AN25" s="253" t="n">
        <v>8</v>
      </c>
      <c r="AO25" s="253">
        <f>AO24+1</f>
        <v/>
      </c>
      <c r="AP25" s="256">
        <f>AM25*($AN$8/100)*$AO$8/24</f>
        <v/>
      </c>
      <c r="AQ25" s="187">
        <f>AP25+AQ24</f>
        <v/>
      </c>
      <c r="AR25" s="187" t="n">
        <v>325</v>
      </c>
    </row>
    <row r="26" ht="15" customHeight="1" s="188">
      <c r="B26" s="275" t="n"/>
      <c r="C26" s="203" t="n">
        <v>4</v>
      </c>
      <c r="D26" s="276">
        <f>D22+(D22*$D$12/100)</f>
        <v/>
      </c>
      <c r="E26" s="276">
        <f>E25+G25+(3*$D$11)</f>
        <v/>
      </c>
      <c r="F26" s="277">
        <f>ROUNDDOWN(E26/$G$12,0)</f>
        <v/>
      </c>
      <c r="G26" s="278">
        <f>IF($G$13=4,F26*D26,0)</f>
        <v/>
      </c>
      <c r="H26" s="279" t="n"/>
      <c r="I26" s="274">
        <f>G26/3</f>
        <v/>
      </c>
      <c r="K26" s="264" t="inlineStr">
        <is>
          <t>LVMH</t>
        </is>
      </c>
      <c r="L26" s="254" t="n">
        <v>2</v>
      </c>
      <c r="M26" s="254" t="n">
        <v>470</v>
      </c>
      <c r="N26" s="254" t="n">
        <v>13</v>
      </c>
      <c r="O26" s="254" t="n">
        <v>460</v>
      </c>
      <c r="P26" s="265">
        <f>L26*N26</f>
        <v/>
      </c>
      <c r="Q26" s="265">
        <f>P26/4</f>
        <v/>
      </c>
      <c r="R26" s="265">
        <f>P26/12</f>
        <v/>
      </c>
      <c r="S26" s="265">
        <f>N26/O26*100</f>
        <v/>
      </c>
      <c r="T26" s="265">
        <f>L26*M26</f>
        <v/>
      </c>
      <c r="U26" s="265">
        <f>T26-(L26*O26)</f>
        <v/>
      </c>
      <c r="W26" s="266">
        <f>ROUNDDOWN($L$11/M26,0)</f>
        <v/>
      </c>
      <c r="X26" s="266">
        <f>W26+L26</f>
        <v/>
      </c>
      <c r="Y26" s="266">
        <f>M26</f>
        <v/>
      </c>
      <c r="Z26" s="265">
        <f>((L26*O26)+(W26*Y26))/(W26+L26)</f>
        <v/>
      </c>
      <c r="AA26" s="265">
        <f>X26*N26</f>
        <v/>
      </c>
      <c r="AB26" s="267">
        <f>N26/Z26*100</f>
        <v/>
      </c>
      <c r="AL26" s="258">
        <f>(AM26-AM25)-(AM26-AM27)</f>
        <v/>
      </c>
      <c r="AM26" s="253">
        <f>AM25+$AP$5+150</f>
        <v/>
      </c>
      <c r="AN26" s="253" t="n">
        <v>9</v>
      </c>
      <c r="AO26" s="253">
        <f>AO25+1</f>
        <v/>
      </c>
      <c r="AP26" s="256">
        <f>AM26*($AN$8/100)*$AO$8/24</f>
        <v/>
      </c>
      <c r="AQ26" s="187">
        <f>AP26+AQ25</f>
        <v/>
      </c>
      <c r="AR26" s="187" t="n">
        <v>349</v>
      </c>
    </row>
    <row r="27" ht="15" customHeight="1" s="188">
      <c r="B27" s="275">
        <f>B23+1</f>
        <v/>
      </c>
      <c r="C27" s="203" t="n">
        <v>1</v>
      </c>
      <c r="D27" s="276">
        <f>D23+(D23*$D$12/100)</f>
        <v/>
      </c>
      <c r="E27" s="276">
        <f>E26+G26+(3*$D$11)</f>
        <v/>
      </c>
      <c r="F27" s="277">
        <f>ROUNDDOWN(E27/$G$12,0)</f>
        <v/>
      </c>
      <c r="G27" s="278">
        <f>IF($G$13=4,F27*D27,0)</f>
        <v/>
      </c>
      <c r="H27" s="279">
        <f>IF($G$13=4,SUM(G27:G30),D27*F27)</f>
        <v/>
      </c>
      <c r="I27" s="274">
        <f>G27/3</f>
        <v/>
      </c>
      <c r="AL27" s="201" t="n"/>
      <c r="AM27" s="253">
        <f>AM26-$AP$6-50</f>
        <v/>
      </c>
      <c r="AN27" s="253" t="n">
        <v>9</v>
      </c>
      <c r="AO27" s="253">
        <f>AO26+1</f>
        <v/>
      </c>
      <c r="AP27" s="256">
        <f>AM27*($AN$8/100)*$AO$8/24</f>
        <v/>
      </c>
      <c r="AQ27" s="187">
        <f>AP27+AQ26</f>
        <v/>
      </c>
      <c r="AR27" s="187" t="n">
        <v>371.78</v>
      </c>
    </row>
    <row r="28" ht="15" customHeight="1" s="188">
      <c r="B28" s="275" t="n"/>
      <c r="C28" s="203" t="n">
        <v>2</v>
      </c>
      <c r="D28" s="276">
        <f>D24+(D24*$D$12/100)</f>
        <v/>
      </c>
      <c r="E28" s="276">
        <f>E27+G27+(3*$D$11)</f>
        <v/>
      </c>
      <c r="F28" s="277">
        <f>ROUNDDOWN(E28/$G$12,0)</f>
        <v/>
      </c>
      <c r="G28" s="278">
        <f>IF($G$13=4,F28*D28,0)</f>
        <v/>
      </c>
      <c r="H28" s="279" t="n"/>
      <c r="I28" s="274">
        <f>G28/3</f>
        <v/>
      </c>
      <c r="AL28" s="203">
        <f>(AM28-AM27)-(AM28-AM29)</f>
        <v/>
      </c>
      <c r="AM28" s="253">
        <f>AM27+$AP$5-2650</f>
        <v/>
      </c>
      <c r="AN28" s="253" t="n">
        <v>10</v>
      </c>
      <c r="AO28" s="253">
        <f>AO27+1</f>
        <v/>
      </c>
      <c r="AP28" s="256">
        <f>AM28*($AN$8/100)*$AO$8/24</f>
        <v/>
      </c>
      <c r="AQ28" s="187">
        <f>AP28+AQ27</f>
        <v/>
      </c>
      <c r="AR28" s="187" t="n">
        <v>396.17</v>
      </c>
    </row>
    <row r="29" ht="15" customHeight="1" s="188">
      <c r="B29" s="275" t="n"/>
      <c r="C29" s="203" t="n">
        <v>3</v>
      </c>
      <c r="D29" s="276">
        <f>D25+(D25*$D$12/100)</f>
        <v/>
      </c>
      <c r="E29" s="276">
        <f>E28+G28+(3*$D$11)</f>
        <v/>
      </c>
      <c r="F29" s="277">
        <f>ROUNDDOWN(E29/$G$12,0)</f>
        <v/>
      </c>
      <c r="G29" s="278">
        <f>IF($G$13=4,F29*D29,0)</f>
        <v/>
      </c>
      <c r="H29" s="279" t="n"/>
      <c r="I29" s="274">
        <f>G29/3</f>
        <v/>
      </c>
      <c r="AL29" s="201" t="n"/>
      <c r="AM29" s="253">
        <f>AM28-$AP$6</f>
        <v/>
      </c>
      <c r="AN29" s="253" t="n">
        <v>10</v>
      </c>
      <c r="AO29" s="253">
        <f>AO28+1</f>
        <v/>
      </c>
      <c r="AP29" s="256">
        <f>AM29*($AN$8/100)*$AO$8/24</f>
        <v/>
      </c>
      <c r="AQ29" s="187">
        <f>AP29+AQ28</f>
        <v/>
      </c>
      <c r="AR29" s="187" t="n">
        <v>438.86</v>
      </c>
    </row>
    <row r="30" ht="15" customHeight="1" s="188">
      <c r="B30" s="275" t="n"/>
      <c r="C30" s="203" t="n">
        <v>4</v>
      </c>
      <c r="D30" s="276">
        <f>D26+(D26*$D$12/100)</f>
        <v/>
      </c>
      <c r="E30" s="276">
        <f>E29+G29+(3*$D$11)</f>
        <v/>
      </c>
      <c r="F30" s="277">
        <f>ROUNDDOWN(E30/$G$12,0)</f>
        <v/>
      </c>
      <c r="G30" s="278">
        <f>IF($G$13=4,F30*D30,0)</f>
        <v/>
      </c>
      <c r="H30" s="279" t="n"/>
      <c r="I30" s="274">
        <f>G30/3</f>
        <v/>
      </c>
      <c r="AL30" s="203">
        <f>(AM30-AM29)-(AM30-AM31)</f>
        <v/>
      </c>
      <c r="AM30" s="253">
        <f>AM29+$AP$5-100</f>
        <v/>
      </c>
      <c r="AN30" s="253" t="n">
        <v>11</v>
      </c>
      <c r="AO30" s="253">
        <f>AO29+1</f>
        <v/>
      </c>
      <c r="AP30" s="256">
        <f>AM30*($AN$8/100)*$AO$8/24</f>
        <v/>
      </c>
      <c r="AQ30" s="187">
        <f>AP30+AQ29</f>
        <v/>
      </c>
    </row>
    <row r="31" ht="15" customHeight="1" s="188">
      <c r="B31" s="275">
        <f>B27+1</f>
        <v/>
      </c>
      <c r="C31" s="203" t="n">
        <v>1</v>
      </c>
      <c r="D31" s="276">
        <f>D27+(D27*$D$12/100)</f>
        <v/>
      </c>
      <c r="E31" s="276">
        <f>E30+G30+(3*$D$11)</f>
        <v/>
      </c>
      <c r="F31" s="277">
        <f>ROUNDDOWN(E31/$G$12,0)</f>
        <v/>
      </c>
      <c r="G31" s="278">
        <f>IF($G$13=4,F31*D31,0)</f>
        <v/>
      </c>
      <c r="H31" s="279">
        <f>IF($G$13=4,SUM(G31:G34),D31*F31)</f>
        <v/>
      </c>
      <c r="I31" s="274">
        <f>G31/3</f>
        <v/>
      </c>
      <c r="AL31" s="201" t="n"/>
      <c r="AM31" s="253">
        <f>AM30-$AP$6</f>
        <v/>
      </c>
      <c r="AN31" s="253" t="n">
        <v>11</v>
      </c>
      <c r="AO31" s="253">
        <f>AO30+1</f>
        <v/>
      </c>
      <c r="AP31" s="256">
        <f>AM31*($AN$8/100)*$AO$8/24</f>
        <v/>
      </c>
      <c r="AQ31" s="187">
        <f>AP31+AQ30</f>
        <v/>
      </c>
    </row>
    <row r="32" ht="15" customHeight="1" s="188">
      <c r="B32" s="275" t="n"/>
      <c r="C32" s="203" t="n">
        <v>2</v>
      </c>
      <c r="D32" s="276">
        <f>D28+(D28*$D$12/100)</f>
        <v/>
      </c>
      <c r="E32" s="276">
        <f>E31+G31+(3*$D$11)</f>
        <v/>
      </c>
      <c r="F32" s="277">
        <f>ROUNDDOWN(E32/$G$12,0)</f>
        <v/>
      </c>
      <c r="G32" s="278">
        <f>IF($G$13=4,F32*D32,0)</f>
        <v/>
      </c>
      <c r="H32" s="279" t="n"/>
      <c r="I32" s="274">
        <f>G32/3</f>
        <v/>
      </c>
      <c r="AL32" s="203">
        <f>(AM32-AM31)-(AM32-AM33)</f>
        <v/>
      </c>
      <c r="AM32" s="253">
        <f>AM31+$AP$5</f>
        <v/>
      </c>
      <c r="AN32" s="253" t="n">
        <v>12</v>
      </c>
      <c r="AO32" s="253">
        <f>AO31+1</f>
        <v/>
      </c>
      <c r="AP32" s="256">
        <f>AM32*($AN$8/100)*$AO$8/24</f>
        <v/>
      </c>
      <c r="AQ32" s="187">
        <f>AP32+AQ31</f>
        <v/>
      </c>
    </row>
    <row r="33" ht="15" customHeight="1" s="188">
      <c r="B33" s="275" t="n"/>
      <c r="C33" s="203" t="n">
        <v>3</v>
      </c>
      <c r="D33" s="276">
        <f>D29+(D29*$D$12/100)</f>
        <v/>
      </c>
      <c r="E33" s="276">
        <f>E32+G32+(3*$D$11)</f>
        <v/>
      </c>
      <c r="F33" s="277">
        <f>ROUNDDOWN(E33/$G$12,0)</f>
        <v/>
      </c>
      <c r="G33" s="278">
        <f>IF($G$13=4,F33*D33,0)</f>
        <v/>
      </c>
      <c r="H33" s="279" t="n"/>
      <c r="I33" s="274">
        <f>G33/3</f>
        <v/>
      </c>
      <c r="AL33" s="201" t="n"/>
      <c r="AM33" s="253">
        <f>AM32-$AP$6</f>
        <v/>
      </c>
      <c r="AN33" s="253" t="n">
        <v>12</v>
      </c>
      <c r="AO33" s="253">
        <f>AO32+1</f>
        <v/>
      </c>
      <c r="AP33" s="256">
        <f>AM33*($AN$8/100)*$AO$8/24</f>
        <v/>
      </c>
      <c r="AQ33" s="187">
        <f>AP33+AQ32</f>
        <v/>
      </c>
    </row>
    <row r="34" ht="15" customHeight="1" s="188">
      <c r="B34" s="275" t="n"/>
      <c r="C34" s="203" t="n">
        <v>4</v>
      </c>
      <c r="D34" s="276">
        <f>D30+(D30*$D$12/100)</f>
        <v/>
      </c>
      <c r="E34" s="276">
        <f>E33+G33+(3*$D$11)</f>
        <v/>
      </c>
      <c r="F34" s="277">
        <f>ROUNDDOWN(E34/$G$12,0)</f>
        <v/>
      </c>
      <c r="G34" s="278">
        <f>IF($G$13=4,F34*D34,0)</f>
        <v/>
      </c>
      <c r="H34" s="279" t="n"/>
      <c r="I34" s="274">
        <f>G34/3</f>
        <v/>
      </c>
      <c r="AL34" s="245">
        <f>SUM(AL14:AL33)</f>
        <v/>
      </c>
      <c r="AM34" s="253" t="n"/>
      <c r="AN34" s="253" t="n"/>
      <c r="AO34" s="253" t="n"/>
      <c r="AP34" s="256" t="n"/>
    </row>
    <row r="35" ht="15" customHeight="1" s="188">
      <c r="B35" s="275">
        <f>B31+1</f>
        <v/>
      </c>
      <c r="C35" s="203" t="n">
        <v>1</v>
      </c>
      <c r="D35" s="276">
        <f>D31+(D31*$D$12/100)</f>
        <v/>
      </c>
      <c r="E35" s="276">
        <f>E34+G34+(3*$D$11)</f>
        <v/>
      </c>
      <c r="F35" s="277">
        <f>ROUNDDOWN(E35/$G$12,0)</f>
        <v/>
      </c>
      <c r="G35" s="278">
        <f>IF($G$13=4,F35*D35,0)</f>
        <v/>
      </c>
      <c r="H35" s="279">
        <f>IF($G$13=4,SUM(G35:G38),D35*F35)</f>
        <v/>
      </c>
      <c r="I35" s="274">
        <f>G35/3</f>
        <v/>
      </c>
      <c r="AL35" s="245" t="n"/>
      <c r="AP35" s="246" t="n"/>
    </row>
    <row r="36" ht="15" customHeight="1" s="188">
      <c r="B36" s="275" t="n"/>
      <c r="C36" s="203" t="n">
        <v>2</v>
      </c>
      <c r="D36" s="276">
        <f>D32+(D32*$D$12/100)</f>
        <v/>
      </c>
      <c r="E36" s="276">
        <f>E35+G35+(3*$D$11)</f>
        <v/>
      </c>
      <c r="F36" s="277">
        <f>ROUNDDOWN(E36/$G$12,0)</f>
        <v/>
      </c>
      <c r="G36" s="278">
        <f>IF($G$13=4,F36*D36,0)</f>
        <v/>
      </c>
      <c r="H36" s="279" t="n"/>
      <c r="I36" s="274">
        <f>G36/3</f>
        <v/>
      </c>
      <c r="AL36" s="245" t="n"/>
      <c r="AP36" s="246" t="n"/>
    </row>
    <row r="37" ht="15.75" customHeight="1" s="188">
      <c r="B37" s="275" t="n"/>
      <c r="C37" s="203" t="n">
        <v>3</v>
      </c>
      <c r="D37" s="276">
        <f>D33+(D33*$D$12/100)</f>
        <v/>
      </c>
      <c r="E37" s="276">
        <f>E36+G36+(3*$D$11)</f>
        <v/>
      </c>
      <c r="F37" s="277">
        <f>ROUNDDOWN(E37/$G$12,0)</f>
        <v/>
      </c>
      <c r="G37" s="278">
        <f>IF($G$13=4,F37*D37,0)</f>
        <v/>
      </c>
      <c r="H37" s="279" t="n"/>
      <c r="I37" s="274">
        <f>G37/3</f>
        <v/>
      </c>
      <c r="AL37" s="280" t="n"/>
      <c r="AM37" s="281" t="n"/>
      <c r="AN37" s="281" t="n"/>
      <c r="AO37" s="281" t="n"/>
      <c r="AP37" s="282" t="n"/>
    </row>
    <row r="38" ht="15.75" customHeight="1" s="188">
      <c r="B38" s="275" t="n"/>
      <c r="C38" s="203" t="n">
        <v>4</v>
      </c>
      <c r="D38" s="276">
        <f>D34+(D34*$D$12/100)</f>
        <v/>
      </c>
      <c r="E38" s="276">
        <f>E37+G37+(3*$D$11)</f>
        <v/>
      </c>
      <c r="F38" s="277">
        <f>ROUNDDOWN(E38/$G$12,0)</f>
        <v/>
      </c>
      <c r="G38" s="278">
        <f>IF($G$13=4,F38*D38,0)</f>
        <v/>
      </c>
      <c r="H38" s="279" t="n"/>
      <c r="I38" s="274">
        <f>G38/3</f>
        <v/>
      </c>
    </row>
    <row r="39" ht="15" customHeight="1" s="188">
      <c r="B39" s="275">
        <f>B35+1</f>
        <v/>
      </c>
      <c r="C39" s="203" t="n">
        <v>1</v>
      </c>
      <c r="D39" s="276">
        <f>D35+(D35*$D$12/100)</f>
        <v/>
      </c>
      <c r="E39" s="276">
        <f>E38+G38+(3*$D$11)</f>
        <v/>
      </c>
      <c r="F39" s="277">
        <f>ROUNDDOWN(E39/$G$12,0)</f>
        <v/>
      </c>
      <c r="G39" s="278">
        <f>IF($G$13=4,F39*D39,0)</f>
        <v/>
      </c>
      <c r="H39" s="279">
        <f>IF($G$13=4,SUM(G39:G42),D39*F39)</f>
        <v/>
      </c>
      <c r="I39" s="274">
        <f>G39/3</f>
        <v/>
      </c>
    </row>
    <row r="40" ht="15" customHeight="1" s="188">
      <c r="B40" s="275" t="n"/>
      <c r="C40" s="203" t="n">
        <v>2</v>
      </c>
      <c r="D40" s="276">
        <f>D36+(D36*$D$12/100)</f>
        <v/>
      </c>
      <c r="E40" s="276">
        <f>E39+G39+(3*$D$11)</f>
        <v/>
      </c>
      <c r="F40" s="277">
        <f>ROUNDDOWN(E40/$G$12,0)</f>
        <v/>
      </c>
      <c r="G40" s="278">
        <f>IF($G$13=4,F40*D40,0)</f>
        <v/>
      </c>
      <c r="H40" s="279" t="n"/>
      <c r="I40" s="274">
        <f>G40/3</f>
        <v/>
      </c>
    </row>
    <row r="41" ht="15" customHeight="1" s="188">
      <c r="B41" s="275" t="n"/>
      <c r="C41" s="203" t="n">
        <v>3</v>
      </c>
      <c r="D41" s="276">
        <f>D37+(D37*$D$12/100)</f>
        <v/>
      </c>
      <c r="E41" s="276">
        <f>E40+G40+(3*$D$11)</f>
        <v/>
      </c>
      <c r="F41" s="277">
        <f>ROUNDDOWN(E41/$G$12,0)</f>
        <v/>
      </c>
      <c r="G41" s="278">
        <f>IF($G$13=4,F41*D41,0)</f>
        <v/>
      </c>
      <c r="H41" s="279" t="n"/>
      <c r="I41" s="274">
        <f>G41/3</f>
        <v/>
      </c>
    </row>
    <row r="42" ht="15" customHeight="1" s="188">
      <c r="B42" s="275" t="n"/>
      <c r="C42" s="203" t="n">
        <v>4</v>
      </c>
      <c r="D42" s="276">
        <f>D38+(D38*$D$12/100)</f>
        <v/>
      </c>
      <c r="E42" s="276">
        <f>E41+G41+(3*$D$11)</f>
        <v/>
      </c>
      <c r="F42" s="277">
        <f>ROUNDDOWN(E42/$G$12,0)</f>
        <v/>
      </c>
      <c r="G42" s="278">
        <f>IF($G$13=4,F42*D42,0)</f>
        <v/>
      </c>
      <c r="H42" s="279" t="n"/>
      <c r="I42" s="274">
        <f>G42/3</f>
        <v/>
      </c>
    </row>
    <row r="43" ht="15" customHeight="1" s="188">
      <c r="B43" s="275">
        <f>B39+1</f>
        <v/>
      </c>
      <c r="C43" s="203" t="n">
        <v>1</v>
      </c>
      <c r="D43" s="276">
        <f>D39+(D39*$D$12/100)</f>
        <v/>
      </c>
      <c r="E43" s="276">
        <f>E42+G42+(3*$D$11)</f>
        <v/>
      </c>
      <c r="F43" s="277">
        <f>ROUNDDOWN(E43/$G$12,0)</f>
        <v/>
      </c>
      <c r="G43" s="278">
        <f>IF($G$13=4,F43*D43,0)</f>
        <v/>
      </c>
      <c r="H43" s="279">
        <f>IF($G$13=4,SUM(G43:G46),D43*F43)</f>
        <v/>
      </c>
      <c r="I43" s="274">
        <f>G43/3</f>
        <v/>
      </c>
    </row>
    <row r="44" ht="15" customHeight="1" s="188">
      <c r="B44" s="275" t="n"/>
      <c r="C44" s="203" t="n">
        <v>2</v>
      </c>
      <c r="D44" s="276">
        <f>D40+(D40*$D$12/100)</f>
        <v/>
      </c>
      <c r="E44" s="276">
        <f>E43+G43+(3*$D$11)</f>
        <v/>
      </c>
      <c r="F44" s="277">
        <f>ROUNDDOWN(E44/$G$12,0)</f>
        <v/>
      </c>
      <c r="G44" s="278">
        <f>IF($G$13=4,F44*D44,0)</f>
        <v/>
      </c>
      <c r="H44" s="279" t="n"/>
      <c r="I44" s="274">
        <f>G44/3</f>
        <v/>
      </c>
    </row>
    <row r="45" ht="15" customHeight="1" s="188">
      <c r="B45" s="275" t="n"/>
      <c r="C45" s="203" t="n">
        <v>3</v>
      </c>
      <c r="D45" s="276">
        <f>D41+(D41*$D$12/100)</f>
        <v/>
      </c>
      <c r="E45" s="276">
        <f>E44+G44+(3*$D$11)</f>
        <v/>
      </c>
      <c r="F45" s="277">
        <f>ROUNDDOWN(E45/$G$12,0)</f>
        <v/>
      </c>
      <c r="G45" s="278">
        <f>IF($G$13=4,F45*D45,0)</f>
        <v/>
      </c>
      <c r="H45" s="279" t="n"/>
      <c r="I45" s="274">
        <f>G45/3</f>
        <v/>
      </c>
    </row>
    <row r="46" ht="15" customHeight="1" s="188">
      <c r="B46" s="275" t="n"/>
      <c r="C46" s="203" t="n">
        <v>4</v>
      </c>
      <c r="D46" s="276">
        <f>D42+(D42*$D$12/100)</f>
        <v/>
      </c>
      <c r="E46" s="276">
        <f>E45+G45+(3*$D$11)</f>
        <v/>
      </c>
      <c r="F46" s="277">
        <f>ROUNDDOWN(E46/$G$12,0)</f>
        <v/>
      </c>
      <c r="G46" s="278">
        <f>IF($G$13=4,F46*D46,0)</f>
        <v/>
      </c>
      <c r="H46" s="279" t="n"/>
      <c r="I46" s="274">
        <f>G46/3</f>
        <v/>
      </c>
    </row>
    <row r="47" ht="15" customHeight="1" s="188">
      <c r="B47" s="275">
        <f>B43+1</f>
        <v/>
      </c>
      <c r="C47" s="203" t="n">
        <v>1</v>
      </c>
      <c r="D47" s="276">
        <f>D43+(D43*$D$12/100)</f>
        <v/>
      </c>
      <c r="E47" s="276">
        <f>E46+G46+(3*$D$11)</f>
        <v/>
      </c>
      <c r="F47" s="277">
        <f>ROUNDDOWN(E47/$G$12,0)</f>
        <v/>
      </c>
      <c r="G47" s="278">
        <f>IF($G$13=4,F47*D47,0)</f>
        <v/>
      </c>
      <c r="H47" s="279">
        <f>IF($G$13=4,SUM(G47:G50),D47*F47)</f>
        <v/>
      </c>
      <c r="I47" s="274">
        <f>G47/3</f>
        <v/>
      </c>
    </row>
    <row r="48" ht="15" customHeight="1" s="188">
      <c r="B48" s="275" t="n"/>
      <c r="C48" s="203" t="n">
        <v>2</v>
      </c>
      <c r="D48" s="276">
        <f>D44+(D44*$D$12/100)</f>
        <v/>
      </c>
      <c r="E48" s="276">
        <f>E47+G47+(3*$D$11)</f>
        <v/>
      </c>
      <c r="F48" s="277">
        <f>ROUNDDOWN(E48/$G$12,0)</f>
        <v/>
      </c>
      <c r="G48" s="278">
        <f>IF($G$13=4,F48*D48,0)</f>
        <v/>
      </c>
      <c r="H48" s="279" t="n"/>
      <c r="I48" s="274">
        <f>G48/3</f>
        <v/>
      </c>
    </row>
    <row r="49" ht="15" customHeight="1" s="188">
      <c r="B49" s="283" t="n"/>
      <c r="C49" s="284" t="n">
        <v>3</v>
      </c>
      <c r="D49" s="285">
        <f>D45+(D45*$D$12/100)</f>
        <v/>
      </c>
      <c r="E49" s="276">
        <f>E48+G48+(3*$D$11)</f>
        <v/>
      </c>
      <c r="F49" s="277">
        <f>ROUNDDOWN(E49/$G$12,0)</f>
        <v/>
      </c>
      <c r="G49" s="286">
        <f>IF($G$13=4,F49*D49,0)</f>
        <v/>
      </c>
      <c r="H49" s="287" t="n"/>
      <c r="I49" s="274">
        <f>G49/3</f>
        <v/>
      </c>
    </row>
    <row r="50" ht="15" customHeight="1" s="188">
      <c r="B50" s="275" t="n"/>
      <c r="C50" s="203" t="n">
        <v>4</v>
      </c>
      <c r="D50" s="276">
        <f>D46+(D46*$D$12/100)</f>
        <v/>
      </c>
      <c r="E50" s="276">
        <f>E49+G49+(3*$D$11)</f>
        <v/>
      </c>
      <c r="F50" s="277">
        <f>ROUNDDOWN(E50/$G$12,0)</f>
        <v/>
      </c>
      <c r="G50" s="278">
        <f>IF($G$13=4,F50*D50,0)</f>
        <v/>
      </c>
      <c r="H50" s="279" t="n"/>
      <c r="I50" s="274">
        <f>G50/3</f>
        <v/>
      </c>
    </row>
    <row r="51" ht="15" customHeight="1" s="188">
      <c r="B51" s="275">
        <f>B47+1</f>
        <v/>
      </c>
      <c r="C51" s="203" t="n">
        <v>1</v>
      </c>
      <c r="D51" s="276">
        <f>D47+(D47*$D$12/100)</f>
        <v/>
      </c>
      <c r="E51" s="276">
        <f>E50+G50+(3*$D$11)</f>
        <v/>
      </c>
      <c r="F51" s="277">
        <f>ROUNDDOWN(E51/$G$12,0)</f>
        <v/>
      </c>
      <c r="G51" s="278">
        <f>IF($G$13=4,F51*D51,0)</f>
        <v/>
      </c>
      <c r="H51" s="279">
        <f>IF($G$13=4,SUM(G51:G54),D51*F51)</f>
        <v/>
      </c>
      <c r="I51" s="274">
        <f>G51/3</f>
        <v/>
      </c>
    </row>
    <row r="52" ht="15" customHeight="1" s="188">
      <c r="B52" s="275" t="n"/>
      <c r="C52" s="203" t="n">
        <v>2</v>
      </c>
      <c r="D52" s="276">
        <f>D48+(D48*$D$12/100)</f>
        <v/>
      </c>
      <c r="E52" s="276">
        <f>E51+G51+(3*$D$11)</f>
        <v/>
      </c>
      <c r="F52" s="277">
        <f>ROUNDDOWN(E52/$G$12,0)</f>
        <v/>
      </c>
      <c r="G52" s="278">
        <f>IF($G$13=4,F52*D52,0)</f>
        <v/>
      </c>
      <c r="H52" s="279" t="n"/>
      <c r="I52" s="274">
        <f>G52/3</f>
        <v/>
      </c>
    </row>
    <row r="53" ht="15" customHeight="1" s="188">
      <c r="B53" s="283" t="n"/>
      <c r="C53" s="284" t="n">
        <v>3</v>
      </c>
      <c r="D53" s="285">
        <f>D49+(D49*$D$12/100)</f>
        <v/>
      </c>
      <c r="E53" s="276">
        <f>E52+G52+(3*$D$11)</f>
        <v/>
      </c>
      <c r="F53" s="277">
        <f>ROUNDDOWN(E53/$G$12,0)</f>
        <v/>
      </c>
      <c r="G53" s="286">
        <f>IF($G$13=4,F53*D53,0)</f>
        <v/>
      </c>
      <c r="H53" s="287" t="n"/>
      <c r="I53" s="274">
        <f>G53/3</f>
        <v/>
      </c>
      <c r="M53" s="220" t="n"/>
      <c r="N53" s="220" t="n"/>
      <c r="O53" s="288" t="n"/>
      <c r="P53" s="220" t="n"/>
      <c r="Q53" s="220" t="n"/>
      <c r="R53" s="220" t="n"/>
      <c r="S53" s="220" t="n"/>
      <c r="T53" s="220" t="n"/>
      <c r="U53" s="220" t="n"/>
    </row>
    <row r="54" ht="15.75" customHeight="1" s="188">
      <c r="B54" s="289" t="n"/>
      <c r="C54" s="290" t="n">
        <v>4</v>
      </c>
      <c r="D54" s="291">
        <f>D50+(D50*$D$12/100)</f>
        <v/>
      </c>
      <c r="E54" s="276">
        <f>E53+G53+(3*$D$11)</f>
        <v/>
      </c>
      <c r="F54" s="277">
        <f>ROUNDDOWN(E54/$G$12,0)</f>
        <v/>
      </c>
      <c r="G54" s="292">
        <f>IF($G$13=4,F54*D54,0)</f>
        <v/>
      </c>
      <c r="H54" s="293" t="n"/>
      <c r="I54" s="274">
        <f>G54/3</f>
        <v/>
      </c>
      <c r="M54" s="220" t="n"/>
      <c r="N54" s="220" t="n"/>
      <c r="O54" s="288" t="n"/>
      <c r="P54" s="220" t="n"/>
      <c r="Q54" s="220" t="n"/>
      <c r="R54" s="220" t="n"/>
      <c r="S54" s="220" t="n"/>
      <c r="T54" s="220" t="n"/>
      <c r="U54" s="220" t="n"/>
    </row>
    <row r="55" ht="15.75" customHeight="1" s="188">
      <c r="M55" s="220" t="n"/>
      <c r="N55" s="220" t="n"/>
      <c r="O55" s="288" t="n"/>
      <c r="P55" s="220" t="n"/>
      <c r="Q55" s="220" t="n"/>
      <c r="R55" s="220" t="n"/>
      <c r="S55" s="220" t="n"/>
      <c r="T55" s="220" t="n"/>
      <c r="U55" s="220" t="n"/>
    </row>
    <row r="56" ht="15" customHeight="1" s="188">
      <c r="M56" s="220" t="n"/>
      <c r="N56" s="220" t="n"/>
      <c r="O56" s="288" t="n"/>
      <c r="P56" s="220" t="n"/>
      <c r="Q56" s="220" t="n"/>
      <c r="R56" s="220" t="n"/>
      <c r="S56" s="220" t="n"/>
      <c r="T56" s="220" t="n"/>
      <c r="U56" s="220" t="n"/>
    </row>
    <row r="57" ht="15" customHeight="1" s="188">
      <c r="M57" s="220" t="n"/>
      <c r="N57" s="220" t="n"/>
      <c r="O57" s="288" t="n"/>
      <c r="P57" s="220" t="n"/>
      <c r="Q57" s="220" t="n"/>
      <c r="R57" s="220" t="n"/>
      <c r="S57" s="220" t="n"/>
      <c r="T57" s="220" t="n"/>
      <c r="U57" s="220" t="n"/>
    </row>
    <row r="58" ht="15" customHeight="1" s="188">
      <c r="M58" s="220" t="n"/>
      <c r="N58" s="220" t="n"/>
      <c r="O58" s="288" t="n"/>
      <c r="P58" s="220" t="n"/>
      <c r="Q58" s="220" t="n"/>
      <c r="R58" s="220" t="n"/>
      <c r="S58" s="220" t="n"/>
      <c r="T58" s="220" t="n"/>
      <c r="U58" s="220" t="n"/>
    </row>
    <row r="59" ht="15" customHeight="1" s="188">
      <c r="M59" s="220" t="n"/>
      <c r="N59" s="220" t="n"/>
      <c r="O59" s="288" t="n"/>
      <c r="P59" s="220" t="n"/>
      <c r="Q59" s="220" t="n"/>
      <c r="R59" s="220" t="n"/>
      <c r="S59" s="220" t="n"/>
      <c r="T59" s="220" t="n"/>
      <c r="U59" s="220" t="n"/>
    </row>
    <row r="60" ht="15" customHeight="1" s="188">
      <c r="M60" s="220" t="n"/>
      <c r="N60" s="220" t="n"/>
      <c r="O60" s="288" t="n"/>
      <c r="P60" s="220" t="n"/>
      <c r="Q60" s="220" t="n"/>
      <c r="R60" s="220" t="n"/>
      <c r="S60" s="220" t="n"/>
      <c r="T60" s="220" t="n"/>
      <c r="U60" s="220" t="n"/>
    </row>
    <row r="61" ht="15" customHeight="1" s="188">
      <c r="M61" s="220" t="n"/>
      <c r="N61" s="220" t="n"/>
      <c r="O61" s="288" t="n"/>
      <c r="P61" s="220" t="n"/>
      <c r="Q61" s="220" t="n"/>
      <c r="R61" s="220" t="n"/>
      <c r="S61" s="220" t="n"/>
      <c r="T61" s="220" t="n"/>
      <c r="U61" s="220" t="n"/>
    </row>
    <row r="62" ht="15" customHeight="1" s="188">
      <c r="M62" s="220" t="n"/>
      <c r="N62" s="220" t="n"/>
      <c r="O62" s="288" t="n"/>
      <c r="P62" s="220" t="n"/>
      <c r="Q62" s="220" t="n"/>
      <c r="R62" s="220" t="n"/>
      <c r="S62" s="220" t="n"/>
      <c r="T62" s="220" t="n"/>
      <c r="U62" s="220" t="n"/>
    </row>
    <row r="63" ht="15" customHeight="1" s="188">
      <c r="M63" s="220" t="n"/>
      <c r="N63" s="220" t="n"/>
      <c r="O63" s="288" t="n"/>
      <c r="P63" s="220" t="n"/>
      <c r="Q63" s="220" t="n"/>
      <c r="R63" s="220" t="n"/>
      <c r="S63" s="220" t="n"/>
      <c r="T63" s="220" t="n"/>
      <c r="U63" s="220" t="n"/>
    </row>
    <row r="64" ht="15" customHeight="1" s="188">
      <c r="M64" s="220" t="n"/>
      <c r="N64" s="220" t="n"/>
      <c r="O64" s="288" t="n"/>
      <c r="P64" s="220" t="n"/>
      <c r="Q64" s="220" t="n"/>
      <c r="R64" s="220" t="n"/>
      <c r="S64" s="220" t="n"/>
      <c r="T64" s="220" t="n"/>
      <c r="U64" s="220" t="n"/>
    </row>
    <row r="65" ht="15" customHeight="1" s="188">
      <c r="M65" s="220" t="n"/>
      <c r="N65" s="220" t="n"/>
      <c r="O65" s="288" t="n"/>
      <c r="P65" s="220" t="n"/>
      <c r="Q65" s="220" t="n"/>
      <c r="R65" s="220" t="n"/>
      <c r="S65" s="220" t="n"/>
      <c r="T65" s="220" t="n"/>
      <c r="U65" s="220" t="n"/>
    </row>
    <row r="66" ht="15" customHeight="1" s="188">
      <c r="M66" s="220" t="n"/>
      <c r="N66" s="220" t="n"/>
      <c r="O66" s="288" t="n"/>
      <c r="P66" s="220" t="n"/>
      <c r="Q66" s="220" t="n"/>
      <c r="R66" s="220" t="n"/>
      <c r="S66" s="220" t="n"/>
      <c r="T66" s="220" t="n"/>
      <c r="U66" s="220" t="n"/>
    </row>
    <row r="67" ht="15" customHeight="1" s="188">
      <c r="M67" s="220" t="n"/>
      <c r="N67" s="220" t="n"/>
      <c r="O67" s="288" t="n"/>
      <c r="P67" s="220" t="n"/>
      <c r="Q67" s="220" t="n"/>
      <c r="R67" s="220" t="n"/>
      <c r="S67" s="220" t="n"/>
      <c r="T67" s="220" t="n"/>
      <c r="U67" s="220" t="n"/>
    </row>
    <row r="68" ht="15" customHeight="1" s="188">
      <c r="M68" s="220" t="n"/>
      <c r="N68" s="220" t="n"/>
      <c r="O68" s="288" t="n"/>
      <c r="P68" s="220" t="n"/>
      <c r="Q68" s="220" t="n"/>
      <c r="R68" s="220" t="n"/>
      <c r="S68" s="220" t="n"/>
      <c r="T68" s="220" t="n"/>
      <c r="U68" s="220" t="n"/>
    </row>
    <row r="69" ht="15" customHeight="1" s="188">
      <c r="M69" s="220" t="n"/>
      <c r="N69" s="220" t="n"/>
      <c r="O69" s="288" t="n"/>
      <c r="P69" s="220" t="n"/>
      <c r="Q69" s="220" t="n"/>
      <c r="R69" s="220" t="n"/>
      <c r="S69" s="220" t="n"/>
      <c r="T69" s="220" t="n"/>
      <c r="U69" s="220" t="n"/>
    </row>
    <row r="70" ht="15" customHeight="1" s="188">
      <c r="M70" s="220" t="n"/>
      <c r="N70" s="220" t="n"/>
      <c r="O70" s="288" t="n"/>
      <c r="P70" s="220" t="n"/>
      <c r="Q70" s="220" t="n"/>
      <c r="R70" s="220" t="n"/>
      <c r="S70" s="220" t="n"/>
      <c r="T70" s="220" t="n"/>
      <c r="U70" s="220" t="n"/>
    </row>
    <row r="71" ht="15" customHeight="1" s="188">
      <c r="M71" s="220" t="n"/>
      <c r="N71" s="220" t="n"/>
      <c r="O71" s="288" t="n"/>
      <c r="P71" s="220" t="n"/>
      <c r="Q71" s="220" t="n"/>
      <c r="R71" s="220" t="n"/>
      <c r="S71" s="220" t="n"/>
      <c r="T71" s="220" t="n"/>
      <c r="U71" s="220" t="n"/>
    </row>
    <row r="72" ht="15" customHeight="1" s="188">
      <c r="M72" s="220" t="n"/>
      <c r="N72" s="220" t="n"/>
      <c r="O72" s="288" t="n"/>
      <c r="P72" s="220" t="n"/>
      <c r="Q72" s="220" t="n"/>
      <c r="R72" s="220" t="n"/>
      <c r="S72" s="220" t="n"/>
      <c r="T72" s="220" t="n"/>
      <c r="U72" s="220" t="n"/>
    </row>
    <row r="73" ht="15" customHeight="1" s="188">
      <c r="M73" s="220" t="n"/>
      <c r="N73" s="220" t="n"/>
      <c r="O73" s="288" t="n"/>
      <c r="P73" s="220" t="n"/>
      <c r="Q73" s="220" t="n"/>
      <c r="R73" s="220" t="n"/>
      <c r="S73" s="220" t="n"/>
      <c r="T73" s="220" t="n"/>
      <c r="U73" s="220" t="n"/>
    </row>
    <row r="74" ht="15" customHeight="1" s="188">
      <c r="M74" s="220" t="n"/>
      <c r="N74" s="220" t="n"/>
      <c r="O74" s="288" t="n"/>
      <c r="P74" s="220" t="n"/>
      <c r="Q74" s="220" t="n"/>
      <c r="R74" s="220" t="n"/>
      <c r="S74" s="220" t="n"/>
      <c r="T74" s="220" t="n"/>
      <c r="U74" s="220" t="n"/>
    </row>
    <row r="75" ht="15" customHeight="1" s="188">
      <c r="M75" s="220" t="n"/>
      <c r="N75" s="220" t="n"/>
      <c r="O75" s="288" t="n"/>
      <c r="P75" s="220" t="n"/>
      <c r="Q75" s="220" t="n"/>
      <c r="R75" s="220" t="n"/>
      <c r="S75" s="220" t="n"/>
      <c r="T75" s="220" t="n"/>
      <c r="U75" s="220" t="n"/>
    </row>
    <row r="76" ht="15" customHeight="1" s="188">
      <c r="M76" s="220" t="n"/>
      <c r="N76" s="220" t="n"/>
      <c r="O76" s="288" t="n"/>
      <c r="P76" s="220" t="n"/>
      <c r="Q76" s="220" t="n"/>
      <c r="R76" s="220" t="n"/>
      <c r="S76" s="220" t="n"/>
      <c r="T76" s="220" t="n"/>
      <c r="U76" s="220" t="n"/>
    </row>
    <row r="77" ht="15" customHeight="1" s="188">
      <c r="M77" s="220" t="n"/>
      <c r="N77" s="220" t="n"/>
      <c r="O77" s="288" t="n"/>
      <c r="P77" s="220" t="n"/>
      <c r="Q77" s="220" t="n"/>
      <c r="R77" s="220" t="n"/>
      <c r="S77" s="220" t="n"/>
      <c r="T77" s="220" t="n"/>
      <c r="U77" s="220" t="n"/>
    </row>
    <row r="78" ht="15" customHeight="1" s="188">
      <c r="M78" s="220" t="n"/>
      <c r="N78" s="220" t="n"/>
      <c r="O78" s="288" t="n"/>
      <c r="P78" s="220" t="n"/>
      <c r="Q78" s="220" t="n"/>
      <c r="R78" s="220" t="n"/>
      <c r="S78" s="220" t="n"/>
      <c r="T78" s="220" t="n"/>
      <c r="U78" s="220" t="n"/>
    </row>
    <row r="79" ht="15" customHeight="1" s="188">
      <c r="M79" s="220" t="n"/>
      <c r="N79" s="220" t="n"/>
      <c r="O79" s="288" t="n"/>
      <c r="P79" s="220" t="n"/>
      <c r="Q79" s="220" t="n"/>
      <c r="R79" s="220" t="n"/>
      <c r="S79" s="220" t="n"/>
      <c r="T79" s="220" t="n"/>
      <c r="U79" s="220" t="n"/>
    </row>
    <row r="80" ht="15" customHeight="1" s="188">
      <c r="M80" s="220" t="n"/>
      <c r="N80" s="220" t="n"/>
      <c r="O80" s="288" t="n"/>
      <c r="P80" s="220" t="n"/>
      <c r="Q80" s="220" t="n"/>
      <c r="R80" s="220" t="n"/>
      <c r="S80" s="220" t="n"/>
      <c r="T80" s="220" t="n"/>
      <c r="U80" s="220" t="n"/>
    </row>
    <row r="81" ht="15" customHeight="1" s="188">
      <c r="M81" s="220" t="n"/>
      <c r="N81" s="220" t="n"/>
      <c r="O81" s="288" t="n"/>
      <c r="P81" s="220" t="n"/>
      <c r="Q81" s="220" t="n"/>
      <c r="R81" s="220" t="n"/>
      <c r="S81" s="220" t="n"/>
      <c r="T81" s="220" t="n"/>
      <c r="U81" s="220" t="n"/>
    </row>
    <row r="82" ht="15" customHeight="1" s="188">
      <c r="M82" s="220" t="n"/>
      <c r="N82" s="220" t="n"/>
      <c r="O82" s="288" t="n"/>
      <c r="P82" s="220" t="n"/>
      <c r="Q82" s="220" t="n"/>
      <c r="R82" s="220" t="n"/>
      <c r="S82" s="220" t="n"/>
      <c r="T82" s="220" t="n"/>
      <c r="U82" s="220" t="n"/>
    </row>
    <row r="83" ht="15" customHeight="1" s="188">
      <c r="M83" s="220" t="n"/>
      <c r="N83" s="220" t="n"/>
      <c r="O83" s="288" t="n"/>
      <c r="P83" s="220" t="n"/>
      <c r="Q83" s="220" t="n"/>
      <c r="R83" s="220" t="n"/>
      <c r="S83" s="220" t="n"/>
      <c r="T83" s="220" t="n"/>
      <c r="U83" s="220" t="n"/>
    </row>
    <row r="84" ht="15" customHeight="1" s="188">
      <c r="M84" s="220" t="n"/>
      <c r="N84" s="220" t="n"/>
      <c r="O84" s="288" t="n"/>
      <c r="P84" s="220" t="n"/>
      <c r="Q84" s="220" t="n"/>
      <c r="R84" s="220" t="n"/>
      <c r="S84" s="220" t="n"/>
      <c r="T84" s="220" t="n"/>
      <c r="U84" s="220" t="n"/>
    </row>
  </sheetData>
  <mergeCells count="11">
    <mergeCell ref="AL18:AL19"/>
    <mergeCell ref="AL16:AL17"/>
    <mergeCell ref="AL14:AL15"/>
    <mergeCell ref="AL30:AL31"/>
    <mergeCell ref="AL22:AL23"/>
    <mergeCell ref="AL32:AL33"/>
    <mergeCell ref="AL12:AL13"/>
    <mergeCell ref="AL20:AL21"/>
    <mergeCell ref="AL28:AL29"/>
    <mergeCell ref="AL24:AL25"/>
    <mergeCell ref="AL26:AL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3:Y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8" activeCellId="0" sqref="F8"/>
    </sheetView>
  </sheetViews>
  <sheetFormatPr baseColWidth="8" defaultColWidth="10.6796875" defaultRowHeight="15" zeroHeight="0" outlineLevelRow="0"/>
  <cols>
    <col width="18.86" customWidth="1" style="187" min="1" max="1"/>
    <col width="15.57" customWidth="1" style="187" min="2" max="3"/>
    <col width="16.43" customWidth="1" style="187" min="6" max="6"/>
    <col width="17.15" customWidth="1" style="187" min="12" max="12"/>
    <col width="19.29" customWidth="1" style="187" min="20" max="20"/>
    <col width="18.42" customWidth="1" style="187" min="21" max="21"/>
  </cols>
  <sheetData>
    <row r="3" ht="15" customHeight="1" s="188">
      <c r="B3" s="187" t="inlineStr">
        <is>
          <t>APY</t>
        </is>
      </c>
      <c r="C3" s="254" t="n">
        <v>3.3</v>
      </c>
      <c r="L3" s="187" t="inlineStr">
        <is>
          <t>APY</t>
        </is>
      </c>
      <c r="M3" s="254" t="n">
        <v>2.4</v>
      </c>
      <c r="T3" s="187" t="inlineStr">
        <is>
          <t>APY</t>
        </is>
      </c>
      <c r="U3" s="254" t="n">
        <v>5</v>
      </c>
    </row>
    <row r="4" ht="15" customHeight="1" s="188">
      <c r="C4" s="254">
        <f>C3/100</f>
        <v/>
      </c>
      <c r="M4" s="254">
        <f>M3/100</f>
        <v/>
      </c>
      <c r="U4" s="254">
        <f>U3/100</f>
        <v/>
      </c>
    </row>
    <row r="5" ht="15" customHeight="1" s="188">
      <c r="B5" s="187" t="inlineStr">
        <is>
          <t>gain 1 mois</t>
        </is>
      </c>
      <c r="C5" s="265">
        <f>SUM(F8:F38)</f>
        <v/>
      </c>
      <c r="D5" s="220">
        <f>SUM(G8:G38)</f>
        <v/>
      </c>
      <c r="L5" s="187" t="inlineStr">
        <is>
          <t>gain 1 mois</t>
        </is>
      </c>
      <c r="M5" s="265">
        <f>SUM(P8:P38)</f>
        <v/>
      </c>
      <c r="N5" s="220">
        <f>SUM(Q8:Q38)</f>
        <v/>
      </c>
      <c r="T5" s="187" t="inlineStr">
        <is>
          <t>gain 1 mois</t>
        </is>
      </c>
      <c r="U5" s="265">
        <f>SUM(X8:X38)</f>
        <v/>
      </c>
      <c r="V5" s="220">
        <f>SUM(Y8:Y38)</f>
        <v/>
      </c>
    </row>
    <row r="7" ht="15" customHeight="1" s="188">
      <c r="B7" s="187" t="inlineStr">
        <is>
          <t>taux change EvM</t>
        </is>
      </c>
      <c r="C7" s="254" t="n">
        <v>0.86144</v>
      </c>
      <c r="E7" s="294" t="inlineStr">
        <is>
          <t>cash</t>
        </is>
      </c>
      <c r="F7" s="294" t="inlineStr">
        <is>
          <t>interet j</t>
        </is>
      </c>
      <c r="L7" s="187" t="inlineStr">
        <is>
          <t>taux change EvM</t>
        </is>
      </c>
      <c r="M7" s="254" t="n">
        <v>1</v>
      </c>
      <c r="O7" s="294" t="inlineStr">
        <is>
          <t>cash</t>
        </is>
      </c>
      <c r="P7" s="294" t="inlineStr">
        <is>
          <t>interet j</t>
        </is>
      </c>
      <c r="T7" s="187" t="inlineStr">
        <is>
          <t>taux change EvM</t>
        </is>
      </c>
      <c r="U7" s="254" t="n">
        <v>386.83</v>
      </c>
      <c r="W7" s="294" t="inlineStr">
        <is>
          <t>cash</t>
        </is>
      </c>
      <c r="X7" s="294" t="inlineStr">
        <is>
          <t>interet j</t>
        </is>
      </c>
    </row>
    <row r="8" ht="15" customHeight="1" s="188">
      <c r="B8" s="187" t="inlineStr">
        <is>
          <t>taux change MvE</t>
        </is>
      </c>
      <c r="C8" s="254" t="n">
        <v>1.15609</v>
      </c>
      <c r="D8" s="187" t="n">
        <v>1</v>
      </c>
      <c r="E8" s="220">
        <f>C10</f>
        <v/>
      </c>
      <c r="F8" s="295">
        <f>E8*((1+$C$4)^(1/365.25)-1)</f>
        <v/>
      </c>
      <c r="G8" s="220">
        <f>F8*$C$8</f>
        <v/>
      </c>
      <c r="L8" s="187" t="inlineStr">
        <is>
          <t>taux change MvE</t>
        </is>
      </c>
      <c r="M8" s="254" t="n">
        <v>1</v>
      </c>
      <c r="N8" s="187" t="n">
        <v>1</v>
      </c>
      <c r="O8" s="220">
        <f>M10</f>
        <v/>
      </c>
      <c r="P8" s="295">
        <f>O8*((1+$M$4)^(1/365.25)-1)</f>
        <v/>
      </c>
      <c r="Q8" s="220">
        <f>P8*$M$8</f>
        <v/>
      </c>
      <c r="T8" s="187" t="inlineStr">
        <is>
          <t>taux change MvE</t>
        </is>
      </c>
      <c r="U8" s="254" t="n">
        <v>0.00258</v>
      </c>
      <c r="V8" s="187" t="n">
        <v>1</v>
      </c>
      <c r="W8" s="220">
        <f>U10</f>
        <v/>
      </c>
      <c r="X8" s="295">
        <f>W8*((1+$U$4)^(1/365.25)-1)</f>
        <v/>
      </c>
      <c r="Y8" s="220">
        <f>X8*$U$8</f>
        <v/>
      </c>
    </row>
    <row r="9" ht="15" customHeight="1" s="188">
      <c r="B9" s="187" t="inlineStr">
        <is>
          <t>somme D</t>
        </is>
      </c>
      <c r="C9" s="254" t="n">
        <v>3500</v>
      </c>
      <c r="D9" s="187">
        <f>D8+1</f>
        <v/>
      </c>
      <c r="E9" s="220">
        <f>E8+F8</f>
        <v/>
      </c>
      <c r="F9" s="295">
        <f>E9*((1+$C$4)^(1/365.25)-1)</f>
        <v/>
      </c>
      <c r="G9" s="220">
        <f>F9*$C$8</f>
        <v/>
      </c>
      <c r="L9" s="187" t="inlineStr">
        <is>
          <t>somme D</t>
        </is>
      </c>
      <c r="M9" s="254" t="n">
        <v>7560</v>
      </c>
      <c r="N9" s="187">
        <f>N8+1</f>
        <v/>
      </c>
      <c r="O9" s="220">
        <f>O8+P8</f>
        <v/>
      </c>
      <c r="P9" s="295">
        <f>O9*((1+$M$4)^(1/365.25)-1)</f>
        <v/>
      </c>
      <c r="Q9" s="220">
        <f>P9*$M$8</f>
        <v/>
      </c>
      <c r="T9" s="187" t="inlineStr">
        <is>
          <t>somme D</t>
        </is>
      </c>
      <c r="U9" s="254" t="n">
        <v>12280</v>
      </c>
      <c r="V9" s="187">
        <f>V8+1</f>
        <v/>
      </c>
      <c r="W9" s="220">
        <f>W8+X8</f>
        <v/>
      </c>
      <c r="X9" s="295">
        <f>W9*((1+$U$4)^(1/365.25)-1)</f>
        <v/>
      </c>
      <c r="Y9" s="220">
        <f>X9*$U$8</f>
        <v/>
      </c>
    </row>
    <row r="10" ht="15" customHeight="1" s="188">
      <c r="B10" s="187" t="inlineStr">
        <is>
          <t>Somme Convertie</t>
        </is>
      </c>
      <c r="C10" s="265" t="n">
        <v>14605</v>
      </c>
      <c r="D10" s="187">
        <f>D9+1</f>
        <v/>
      </c>
      <c r="E10" s="220">
        <f>E9+F9</f>
        <v/>
      </c>
      <c r="F10" s="295">
        <f>E10*((1+$C$4)^(1/365.25)-1)</f>
        <v/>
      </c>
      <c r="G10" s="220">
        <f>F10*$C$8</f>
        <v/>
      </c>
      <c r="L10" s="187" t="inlineStr">
        <is>
          <t>Somme Convertie</t>
        </is>
      </c>
      <c r="M10" s="265" t="n">
        <v>14000</v>
      </c>
      <c r="N10" s="187">
        <f>N9+1</f>
        <v/>
      </c>
      <c r="O10" s="220">
        <f>O9+P9</f>
        <v/>
      </c>
      <c r="P10" s="295">
        <f>O10*((1+$M$4)^(1/365.25)-1)</f>
        <v/>
      </c>
      <c r="Q10" s="220">
        <f>P10*$M$8</f>
        <v/>
      </c>
      <c r="T10" s="187" t="inlineStr">
        <is>
          <t>Somme Convertie M</t>
        </is>
      </c>
      <c r="U10" s="265" t="n">
        <v>4862750.03</v>
      </c>
      <c r="V10" s="187">
        <f>V9+1</f>
        <v/>
      </c>
      <c r="W10" s="220">
        <f>W9+X9</f>
        <v/>
      </c>
      <c r="X10" s="295">
        <f>W10*((1+$U$4)^(1/365.25)-1)</f>
        <v/>
      </c>
      <c r="Y10" s="220">
        <f>X10*$U$8</f>
        <v/>
      </c>
    </row>
    <row r="11" ht="15" customHeight="1" s="188">
      <c r="D11" s="187">
        <f>D10+1</f>
        <v/>
      </c>
      <c r="E11" s="220">
        <f>E10+F10</f>
        <v/>
      </c>
      <c r="F11" s="295">
        <f>E11*((1+$C$4)^(1/365.25)-1)</f>
        <v/>
      </c>
      <c r="G11" s="220">
        <f>F11*$C$8</f>
        <v/>
      </c>
      <c r="N11" s="187">
        <f>N10+1</f>
        <v/>
      </c>
      <c r="O11" s="220">
        <f>O10+P10</f>
        <v/>
      </c>
      <c r="P11" s="295">
        <f>O11*((1+$M$4)^(1/365.25)-1)</f>
        <v/>
      </c>
      <c r="Q11" s="220">
        <f>P11*$M$8</f>
        <v/>
      </c>
      <c r="T11" s="187" t="inlineStr">
        <is>
          <t>Somme Convertie E</t>
        </is>
      </c>
      <c r="U11" s="253">
        <f>U10/U7</f>
        <v/>
      </c>
      <c r="V11" s="187">
        <f>V10+1</f>
        <v/>
      </c>
      <c r="W11" s="220">
        <f>W10+X10</f>
        <v/>
      </c>
      <c r="X11" s="295">
        <f>W11*((1+$U$4)^(1/365.25)-1)</f>
        <v/>
      </c>
      <c r="Y11" s="220">
        <f>X11*$U$8</f>
        <v/>
      </c>
    </row>
    <row r="12" ht="15" customHeight="1" s="188">
      <c r="D12" s="187">
        <f>D11+1</f>
        <v/>
      </c>
      <c r="E12" s="220">
        <f>E11+F11</f>
        <v/>
      </c>
      <c r="F12" s="295">
        <f>E12*((1+$C$4)^(1/365.25)-1)</f>
        <v/>
      </c>
      <c r="G12" s="220">
        <f>F12*$C$8</f>
        <v/>
      </c>
      <c r="N12" s="187">
        <f>N11+1</f>
        <v/>
      </c>
      <c r="O12" s="220">
        <f>O11+P11</f>
        <v/>
      </c>
      <c r="P12" s="295">
        <f>O12*((1+$M$4)^(1/365.25)-1)</f>
        <v/>
      </c>
      <c r="Q12" s="220">
        <f>P12*$M$8</f>
        <v/>
      </c>
      <c r="V12" s="187">
        <f>V11+1</f>
        <v/>
      </c>
      <c r="W12" s="220">
        <f>W11+X11</f>
        <v/>
      </c>
      <c r="X12" s="295">
        <f>W12*((1+$U$4)^(1/365.25)-1)</f>
        <v/>
      </c>
      <c r="Y12" s="220">
        <f>X12*$U$8</f>
        <v/>
      </c>
    </row>
    <row r="13" ht="15" customHeight="1" s="188">
      <c r="D13" s="187">
        <f>D12+1</f>
        <v/>
      </c>
      <c r="E13" s="220">
        <f>E12+F12</f>
        <v/>
      </c>
      <c r="F13" s="295">
        <f>E13*((1+$C$4)^(1/365.25)-1)</f>
        <v/>
      </c>
      <c r="G13" s="220">
        <f>F13*$C$8</f>
        <v/>
      </c>
      <c r="N13" s="187">
        <f>N12+1</f>
        <v/>
      </c>
      <c r="O13" s="220">
        <f>O12+P12</f>
        <v/>
      </c>
      <c r="P13" s="295">
        <f>O13*((1+$M$4)^(1/365.25)-1)</f>
        <v/>
      </c>
      <c r="Q13" s="220">
        <f>P13*$M$8</f>
        <v/>
      </c>
      <c r="V13" s="187">
        <f>V12+1</f>
        <v/>
      </c>
      <c r="W13" s="220">
        <f>W12+X12</f>
        <v/>
      </c>
      <c r="X13" s="295">
        <f>W13*((1+$U$4)^(1/365.25)-1)</f>
        <v/>
      </c>
      <c r="Y13" s="220">
        <f>X13*$U$8</f>
        <v/>
      </c>
    </row>
    <row r="14" ht="15" customHeight="1" s="188">
      <c r="D14" s="187">
        <f>D13+1</f>
        <v/>
      </c>
      <c r="E14" s="220">
        <f>E13+F13</f>
        <v/>
      </c>
      <c r="F14" s="295">
        <f>E14*((1+$C$4)^(1/365.25)-1)</f>
        <v/>
      </c>
      <c r="G14" s="220">
        <f>F14*$C$8</f>
        <v/>
      </c>
      <c r="N14" s="187">
        <f>N13+1</f>
        <v/>
      </c>
      <c r="O14" s="220">
        <f>O13+P13</f>
        <v/>
      </c>
      <c r="P14" s="295">
        <f>O14*((1+$M$4)^(1/365.25)-1)</f>
        <v/>
      </c>
      <c r="Q14" s="220">
        <f>P14*$M$8</f>
        <v/>
      </c>
      <c r="V14" s="187">
        <f>V13+1</f>
        <v/>
      </c>
      <c r="W14" s="220">
        <f>W13+X13</f>
        <v/>
      </c>
      <c r="X14" s="295">
        <f>W14*((1+$U$4)^(1/365.25)-1)</f>
        <v/>
      </c>
      <c r="Y14" s="220">
        <f>X14*$U$8</f>
        <v/>
      </c>
    </row>
    <row r="15" ht="15" customHeight="1" s="188">
      <c r="D15" s="187">
        <f>D14+1</f>
        <v/>
      </c>
      <c r="E15" s="220">
        <f>E14+F14</f>
        <v/>
      </c>
      <c r="F15" s="295">
        <f>E15*((1+$C$4)^(1/365.25)-1)</f>
        <v/>
      </c>
      <c r="G15" s="220">
        <f>F15*$C$8</f>
        <v/>
      </c>
      <c r="N15" s="187">
        <f>N14+1</f>
        <v/>
      </c>
      <c r="O15" s="220">
        <f>O14+P14</f>
        <v/>
      </c>
      <c r="P15" s="295">
        <f>O15*((1+$M$4)^(1/365.25)-1)</f>
        <v/>
      </c>
      <c r="Q15" s="220">
        <f>P15*$M$8</f>
        <v/>
      </c>
      <c r="V15" s="187">
        <f>V14+1</f>
        <v/>
      </c>
      <c r="W15" s="220">
        <f>W14+X14</f>
        <v/>
      </c>
      <c r="X15" s="295">
        <f>W15*((1+$U$4)^(1/365.25)-1)</f>
        <v/>
      </c>
      <c r="Y15" s="220">
        <f>X15*$U$8</f>
        <v/>
      </c>
    </row>
    <row r="16" ht="15" customHeight="1" s="188">
      <c r="D16" s="187">
        <f>D15+1</f>
        <v/>
      </c>
      <c r="E16" s="220">
        <f>E15+F15</f>
        <v/>
      </c>
      <c r="F16" s="295">
        <f>E16*((1+$C$4)^(1/365.25)-1)</f>
        <v/>
      </c>
      <c r="G16" s="220">
        <f>F16*$C$8</f>
        <v/>
      </c>
      <c r="N16" s="187">
        <f>N15+1</f>
        <v/>
      </c>
      <c r="O16" s="220">
        <f>O15+P15</f>
        <v/>
      </c>
      <c r="P16" s="295">
        <f>O16*((1+$M$4)^(1/365.25)-1)</f>
        <v/>
      </c>
      <c r="Q16" s="220">
        <f>P16*$M$8</f>
        <v/>
      </c>
      <c r="V16" s="187">
        <f>V15+1</f>
        <v/>
      </c>
      <c r="W16" s="220">
        <f>W15+X15</f>
        <v/>
      </c>
      <c r="X16" s="295">
        <f>W16*((1+$U$4)^(1/365.25)-1)</f>
        <v/>
      </c>
      <c r="Y16" s="220">
        <f>X16*$U$8</f>
        <v/>
      </c>
    </row>
    <row r="17" ht="15" customHeight="1" s="188">
      <c r="D17" s="187">
        <f>D16+1</f>
        <v/>
      </c>
      <c r="E17" s="220">
        <f>E16+F16</f>
        <v/>
      </c>
      <c r="F17" s="295">
        <f>E17*((1+$C$4)^(1/365.25)-1)</f>
        <v/>
      </c>
      <c r="G17" s="220">
        <f>F17*$C$8</f>
        <v/>
      </c>
      <c r="N17" s="187">
        <f>N16+1</f>
        <v/>
      </c>
      <c r="O17" s="220">
        <f>O16+P16</f>
        <v/>
      </c>
      <c r="P17" s="295">
        <f>O17*((1+$M$4)^(1/365.25)-1)</f>
        <v/>
      </c>
      <c r="Q17" s="220">
        <f>P17*$M$8</f>
        <v/>
      </c>
      <c r="V17" s="187">
        <f>V16+1</f>
        <v/>
      </c>
      <c r="W17" s="220">
        <f>W16+X16</f>
        <v/>
      </c>
      <c r="X17" s="295">
        <f>W17*((1+$U$4)^(1/365.25)-1)</f>
        <v/>
      </c>
      <c r="Y17" s="220">
        <f>X17*$U$8</f>
        <v/>
      </c>
    </row>
    <row r="18" ht="15" customHeight="1" s="188">
      <c r="D18" s="187">
        <f>D17+1</f>
        <v/>
      </c>
      <c r="E18" s="220">
        <f>E17+F17</f>
        <v/>
      </c>
      <c r="F18" s="295">
        <f>E18*((1+$C$4)^(1/365.25)-1)</f>
        <v/>
      </c>
      <c r="G18" s="220">
        <f>F18*$C$8</f>
        <v/>
      </c>
      <c r="N18" s="187">
        <f>N17+1</f>
        <v/>
      </c>
      <c r="O18" s="220">
        <f>O17+P17</f>
        <v/>
      </c>
      <c r="P18" s="295">
        <f>O18*((1+$M$4)^(1/365.25)-1)</f>
        <v/>
      </c>
      <c r="Q18" s="220">
        <f>P18*$M$8</f>
        <v/>
      </c>
      <c r="V18" s="187">
        <f>V17+1</f>
        <v/>
      </c>
      <c r="W18" s="220">
        <f>W17+X17</f>
        <v/>
      </c>
      <c r="X18" s="295">
        <f>W18*((1+$U$4)^(1/365.25)-1)</f>
        <v/>
      </c>
      <c r="Y18" s="220">
        <f>X18*$U$8</f>
        <v/>
      </c>
    </row>
    <row r="19" ht="15" customHeight="1" s="188">
      <c r="D19" s="187">
        <f>D18+1</f>
        <v/>
      </c>
      <c r="E19" s="220">
        <f>E18+F18</f>
        <v/>
      </c>
      <c r="F19" s="295">
        <f>E19*((1+$C$4)^(1/365.25)-1)</f>
        <v/>
      </c>
      <c r="G19" s="220">
        <f>F19*$C$8</f>
        <v/>
      </c>
      <c r="N19" s="187">
        <f>N18+1</f>
        <v/>
      </c>
      <c r="O19" s="220">
        <f>O18+P18</f>
        <v/>
      </c>
      <c r="P19" s="295">
        <f>O19*((1+$M$4)^(1/365.25)-1)</f>
        <v/>
      </c>
      <c r="Q19" s="220">
        <f>P19*$M$8</f>
        <v/>
      </c>
      <c r="V19" s="187">
        <f>V18+1</f>
        <v/>
      </c>
      <c r="W19" s="220">
        <f>W18+X18</f>
        <v/>
      </c>
      <c r="X19" s="295">
        <f>W19*((1+$U$4)^(1/365.25)-1)</f>
        <v/>
      </c>
      <c r="Y19" s="220">
        <f>X19*$U$8</f>
        <v/>
      </c>
    </row>
    <row r="20" ht="15" customHeight="1" s="188">
      <c r="D20" s="187">
        <f>D19+1</f>
        <v/>
      </c>
      <c r="E20" s="220">
        <f>E19+F19</f>
        <v/>
      </c>
      <c r="F20" s="295">
        <f>E20*((1+$C$4)^(1/365.25)-1)</f>
        <v/>
      </c>
      <c r="G20" s="220">
        <f>F20*$C$8</f>
        <v/>
      </c>
      <c r="N20" s="187">
        <f>N19+1</f>
        <v/>
      </c>
      <c r="O20" s="220">
        <f>O19+P19</f>
        <v/>
      </c>
      <c r="P20" s="295">
        <f>O20*((1+$M$4)^(1/365.25)-1)</f>
        <v/>
      </c>
      <c r="Q20" s="220">
        <f>P20*$M$8</f>
        <v/>
      </c>
      <c r="V20" s="187">
        <f>V19+1</f>
        <v/>
      </c>
      <c r="W20" s="220">
        <f>W19+X19</f>
        <v/>
      </c>
      <c r="X20" s="295">
        <f>W20*((1+$U$4)^(1/365.25)-1)</f>
        <v/>
      </c>
      <c r="Y20" s="220">
        <f>X20*$U$8</f>
        <v/>
      </c>
    </row>
    <row r="21" ht="15" customHeight="1" s="188">
      <c r="D21" s="187">
        <f>D20+1</f>
        <v/>
      </c>
      <c r="E21" s="220">
        <f>E20+F20</f>
        <v/>
      </c>
      <c r="F21" s="295">
        <f>E21*((1+$C$4)^(1/365.25)-1)</f>
        <v/>
      </c>
      <c r="G21" s="220">
        <f>F21*$C$8</f>
        <v/>
      </c>
      <c r="N21" s="187">
        <f>N20+1</f>
        <v/>
      </c>
      <c r="O21" s="220">
        <f>O20+P20</f>
        <v/>
      </c>
      <c r="P21" s="295">
        <f>O21*((1+$M$4)^(1/365.25)-1)</f>
        <v/>
      </c>
      <c r="Q21" s="220">
        <f>P21*$M$8</f>
        <v/>
      </c>
      <c r="V21" s="187">
        <f>V20+1</f>
        <v/>
      </c>
      <c r="W21" s="220">
        <f>W20+X20</f>
        <v/>
      </c>
      <c r="X21" s="295">
        <f>W21*((1+$U$4)^(1/365.25)-1)</f>
        <v/>
      </c>
      <c r="Y21" s="220">
        <f>X21*$U$8</f>
        <v/>
      </c>
    </row>
    <row r="22" ht="15" customHeight="1" s="188">
      <c r="D22" s="187">
        <f>D21+1</f>
        <v/>
      </c>
      <c r="E22" s="220">
        <f>E21+F21</f>
        <v/>
      </c>
      <c r="F22" s="295">
        <f>E22*((1+$C$4)^(1/365.25)-1)</f>
        <v/>
      </c>
      <c r="G22" s="220">
        <f>F22*$C$8</f>
        <v/>
      </c>
      <c r="N22" s="187">
        <f>N21+1</f>
        <v/>
      </c>
      <c r="O22" s="220">
        <f>O21+P21</f>
        <v/>
      </c>
      <c r="P22" s="295">
        <f>O22*((1+$M$4)^(1/365.25)-1)</f>
        <v/>
      </c>
      <c r="Q22" s="220">
        <f>P22*$M$8</f>
        <v/>
      </c>
      <c r="V22" s="187">
        <f>V21+1</f>
        <v/>
      </c>
      <c r="W22" s="220">
        <f>W21+X21</f>
        <v/>
      </c>
      <c r="X22" s="295">
        <f>W22*((1+$U$4)^(1/365.25)-1)</f>
        <v/>
      </c>
      <c r="Y22" s="220">
        <f>X22*$U$8</f>
        <v/>
      </c>
    </row>
    <row r="23" ht="15" customHeight="1" s="188">
      <c r="D23" s="187">
        <f>D22+1</f>
        <v/>
      </c>
      <c r="E23" s="220">
        <f>E22+F22</f>
        <v/>
      </c>
      <c r="F23" s="295">
        <f>E23*((1+$C$4)^(1/365.25)-1)</f>
        <v/>
      </c>
      <c r="G23" s="220">
        <f>F23*$C$8</f>
        <v/>
      </c>
      <c r="N23" s="187">
        <f>N22+1</f>
        <v/>
      </c>
      <c r="O23" s="220">
        <f>O22+P22</f>
        <v/>
      </c>
      <c r="P23" s="295">
        <f>O23*((1+$M$4)^(1/365.25)-1)</f>
        <v/>
      </c>
      <c r="Q23" s="220">
        <f>P23*$M$8</f>
        <v/>
      </c>
      <c r="V23" s="187">
        <f>V22+1</f>
        <v/>
      </c>
      <c r="W23" s="220">
        <f>W22+X22</f>
        <v/>
      </c>
      <c r="X23" s="295">
        <f>W23*((1+$U$4)^(1/365.25)-1)</f>
        <v/>
      </c>
      <c r="Y23" s="220">
        <f>X23*$U$8</f>
        <v/>
      </c>
    </row>
    <row r="24" ht="15" customHeight="1" s="188">
      <c r="D24" s="187">
        <f>D23+1</f>
        <v/>
      </c>
      <c r="E24" s="220">
        <f>E23+F23</f>
        <v/>
      </c>
      <c r="F24" s="295">
        <f>E24*((1+$C$4)^(1/365.25)-1)</f>
        <v/>
      </c>
      <c r="G24" s="220">
        <f>F24*$C$8</f>
        <v/>
      </c>
      <c r="N24" s="187">
        <f>N23+1</f>
        <v/>
      </c>
      <c r="O24" s="220">
        <f>O23+P23</f>
        <v/>
      </c>
      <c r="P24" s="295">
        <f>O24*((1+$M$4)^(1/365.25)-1)</f>
        <v/>
      </c>
      <c r="Q24" s="220">
        <f>P24*$M$8</f>
        <v/>
      </c>
      <c r="V24" s="187">
        <f>V23+1</f>
        <v/>
      </c>
      <c r="W24" s="220">
        <f>W23+X23</f>
        <v/>
      </c>
      <c r="X24" s="295">
        <f>W24*((1+$U$4)^(1/365.25)-1)</f>
        <v/>
      </c>
      <c r="Y24" s="220">
        <f>X24*$U$8</f>
        <v/>
      </c>
    </row>
    <row r="25" ht="15" customHeight="1" s="188">
      <c r="D25" s="187">
        <f>D24+1</f>
        <v/>
      </c>
      <c r="E25" s="220">
        <f>E24+F24</f>
        <v/>
      </c>
      <c r="F25" s="295">
        <f>E25*((1+$C$4)^(1/365.25)-1)</f>
        <v/>
      </c>
      <c r="G25" s="220">
        <f>F25*$C$8</f>
        <v/>
      </c>
      <c r="N25" s="187">
        <f>N24+1</f>
        <v/>
      </c>
      <c r="O25" s="220">
        <f>O24+P24</f>
        <v/>
      </c>
      <c r="P25" s="295">
        <f>O25*((1+$M$4)^(1/365.25)-1)</f>
        <v/>
      </c>
      <c r="Q25" s="220">
        <f>P25*$M$8</f>
        <v/>
      </c>
      <c r="V25" s="187">
        <f>V24+1</f>
        <v/>
      </c>
      <c r="W25" s="220">
        <f>W24+X24</f>
        <v/>
      </c>
      <c r="X25" s="295">
        <f>W25*((1+$U$4)^(1/365.25)-1)</f>
        <v/>
      </c>
      <c r="Y25" s="220">
        <f>X25*$U$8</f>
        <v/>
      </c>
    </row>
    <row r="26" ht="15" customHeight="1" s="188">
      <c r="D26" s="187">
        <f>D25+1</f>
        <v/>
      </c>
      <c r="E26" s="220">
        <f>E25+F25</f>
        <v/>
      </c>
      <c r="F26" s="295">
        <f>E26*((1+$C$4)^(1/365.25)-1)</f>
        <v/>
      </c>
      <c r="G26" s="220">
        <f>F26*$C$8</f>
        <v/>
      </c>
      <c r="N26" s="187">
        <f>N25+1</f>
        <v/>
      </c>
      <c r="O26" s="220">
        <f>O25+P25</f>
        <v/>
      </c>
      <c r="P26" s="295">
        <f>O26*((1+$M$4)^(1/365.25)-1)</f>
        <v/>
      </c>
      <c r="Q26" s="220">
        <f>P26*$M$8</f>
        <v/>
      </c>
      <c r="V26" s="187">
        <f>V25+1</f>
        <v/>
      </c>
      <c r="W26" s="220">
        <f>W25+X25</f>
        <v/>
      </c>
      <c r="X26" s="295">
        <f>W26*((1+$U$4)^(1/365.25)-1)</f>
        <v/>
      </c>
      <c r="Y26" s="220">
        <f>X26*$U$8</f>
        <v/>
      </c>
    </row>
    <row r="27" ht="15" customHeight="1" s="188">
      <c r="D27" s="187">
        <f>D26+1</f>
        <v/>
      </c>
      <c r="E27" s="220">
        <f>E26+F26</f>
        <v/>
      </c>
      <c r="F27" s="295">
        <f>E27*((1+$C$4)^(1/365.25)-1)</f>
        <v/>
      </c>
      <c r="G27" s="220">
        <f>F27*$C$8</f>
        <v/>
      </c>
      <c r="N27" s="187">
        <f>N26+1</f>
        <v/>
      </c>
      <c r="O27" s="220">
        <f>O26+P26</f>
        <v/>
      </c>
      <c r="P27" s="295">
        <f>O27*((1+$M$4)^(1/365.25)-1)</f>
        <v/>
      </c>
      <c r="Q27" s="220">
        <f>P27*$M$8</f>
        <v/>
      </c>
      <c r="V27" s="187">
        <f>V26+1</f>
        <v/>
      </c>
      <c r="W27" s="220">
        <f>W26+X26</f>
        <v/>
      </c>
      <c r="X27" s="295">
        <f>W27*((1+$U$4)^(1/365.25)-1)</f>
        <v/>
      </c>
      <c r="Y27" s="220">
        <f>X27*$U$8</f>
        <v/>
      </c>
    </row>
    <row r="28" ht="15" customHeight="1" s="188">
      <c r="D28" s="187">
        <f>D27+1</f>
        <v/>
      </c>
      <c r="E28" s="220">
        <f>E27+F27</f>
        <v/>
      </c>
      <c r="F28" s="295">
        <f>E28*((1+$C$4)^(1/365.25)-1)</f>
        <v/>
      </c>
      <c r="G28" s="220">
        <f>F28*$C$8</f>
        <v/>
      </c>
      <c r="N28" s="187">
        <f>N27+1</f>
        <v/>
      </c>
      <c r="O28" s="220">
        <f>O27+P27</f>
        <v/>
      </c>
      <c r="P28" s="295">
        <f>O28*((1+$M$4)^(1/365.25)-1)</f>
        <v/>
      </c>
      <c r="Q28" s="220">
        <f>P28*$M$8</f>
        <v/>
      </c>
      <c r="V28" s="187">
        <f>V27+1</f>
        <v/>
      </c>
      <c r="W28" s="220">
        <f>W27+X27</f>
        <v/>
      </c>
      <c r="X28" s="295">
        <f>W28*((1+$U$4)^(1/365.25)-1)</f>
        <v/>
      </c>
      <c r="Y28" s="220">
        <f>X28*$U$8</f>
        <v/>
      </c>
    </row>
    <row r="29" ht="15" customHeight="1" s="188">
      <c r="D29" s="187">
        <f>D28+1</f>
        <v/>
      </c>
      <c r="E29" s="220">
        <f>E28+F28</f>
        <v/>
      </c>
      <c r="F29" s="295">
        <f>E29*((1+$C$4)^(1/365.25)-1)</f>
        <v/>
      </c>
      <c r="G29" s="220">
        <f>F29*$C$8</f>
        <v/>
      </c>
      <c r="N29" s="187">
        <f>N28+1</f>
        <v/>
      </c>
      <c r="O29" s="220">
        <f>O28+P28</f>
        <v/>
      </c>
      <c r="P29" s="295">
        <f>O29*((1+$M$4)^(1/365.25)-1)</f>
        <v/>
      </c>
      <c r="Q29" s="220">
        <f>P29*$M$8</f>
        <v/>
      </c>
      <c r="V29" s="187">
        <f>V28+1</f>
        <v/>
      </c>
      <c r="W29" s="220">
        <f>W28+X28</f>
        <v/>
      </c>
      <c r="X29" s="295">
        <f>W29*((1+$U$4)^(1/365.25)-1)</f>
        <v/>
      </c>
      <c r="Y29" s="220">
        <f>X29*$U$8</f>
        <v/>
      </c>
    </row>
    <row r="30" ht="15" customHeight="1" s="188">
      <c r="D30" s="187">
        <f>D29+1</f>
        <v/>
      </c>
      <c r="E30" s="220">
        <f>E29+F29</f>
        <v/>
      </c>
      <c r="F30" s="295">
        <f>E30*((1+$C$4)^(1/365.25)-1)</f>
        <v/>
      </c>
      <c r="G30" s="220">
        <f>F30*$C$8</f>
        <v/>
      </c>
      <c r="N30" s="187">
        <f>N29+1</f>
        <v/>
      </c>
      <c r="O30" s="220">
        <f>O29+P29</f>
        <v/>
      </c>
      <c r="P30" s="295">
        <f>O30*((1+$M$4)^(1/365.25)-1)</f>
        <v/>
      </c>
      <c r="Q30" s="220">
        <f>P30*$M$8</f>
        <v/>
      </c>
      <c r="V30" s="187">
        <f>V29+1</f>
        <v/>
      </c>
      <c r="W30" s="220">
        <f>W29+X29</f>
        <v/>
      </c>
      <c r="X30" s="295">
        <f>W30*((1+$U$4)^(1/365.25)-1)</f>
        <v/>
      </c>
      <c r="Y30" s="220">
        <f>X30*$U$8</f>
        <v/>
      </c>
    </row>
    <row r="31" ht="15" customHeight="1" s="188">
      <c r="D31" s="187">
        <f>D30+1</f>
        <v/>
      </c>
      <c r="E31" s="220">
        <f>E30+F30</f>
        <v/>
      </c>
      <c r="F31" s="295">
        <f>E31*((1+$C$4)^(1/365.25)-1)</f>
        <v/>
      </c>
      <c r="G31" s="220">
        <f>F31*$C$8</f>
        <v/>
      </c>
      <c r="N31" s="187">
        <f>N30+1</f>
        <v/>
      </c>
      <c r="O31" s="220">
        <f>O30+P30</f>
        <v/>
      </c>
      <c r="P31" s="295">
        <f>O31*((1+$M$4)^(1/365.25)-1)</f>
        <v/>
      </c>
      <c r="Q31" s="220">
        <f>P31*$M$8</f>
        <v/>
      </c>
      <c r="V31" s="187">
        <f>V30+1</f>
        <v/>
      </c>
      <c r="W31" s="220">
        <f>W30+X30</f>
        <v/>
      </c>
      <c r="X31" s="295">
        <f>W31*((1+$U$4)^(1/365.25)-1)</f>
        <v/>
      </c>
      <c r="Y31" s="220">
        <f>X31*$U$8</f>
        <v/>
      </c>
    </row>
    <row r="32" ht="15" customHeight="1" s="188">
      <c r="D32" s="187">
        <f>D31+1</f>
        <v/>
      </c>
      <c r="E32" s="220">
        <f>E31+F31</f>
        <v/>
      </c>
      <c r="F32" s="295">
        <f>E32*((1+$C$4)^(1/365.25)-1)</f>
        <v/>
      </c>
      <c r="G32" s="220">
        <f>F32*$C$8</f>
        <v/>
      </c>
      <c r="N32" s="187">
        <f>N31+1</f>
        <v/>
      </c>
      <c r="O32" s="220">
        <f>O31+P31</f>
        <v/>
      </c>
      <c r="P32" s="295">
        <f>O32*((1+$M$4)^(1/365.25)-1)</f>
        <v/>
      </c>
      <c r="Q32" s="220">
        <f>P32*$M$8</f>
        <v/>
      </c>
      <c r="V32" s="187">
        <f>V31+1</f>
        <v/>
      </c>
      <c r="W32" s="220">
        <f>W31+X31</f>
        <v/>
      </c>
      <c r="X32" s="295">
        <f>W32*((1+$U$4)^(1/365.25)-1)</f>
        <v/>
      </c>
      <c r="Y32" s="220">
        <f>X32*$U$8</f>
        <v/>
      </c>
    </row>
    <row r="33" ht="15" customHeight="1" s="188">
      <c r="D33" s="187">
        <f>D32+1</f>
        <v/>
      </c>
      <c r="E33" s="220">
        <f>E32+F32</f>
        <v/>
      </c>
      <c r="F33" s="295">
        <f>E33*((1+$C$4)^(1/365.25)-1)</f>
        <v/>
      </c>
      <c r="G33" s="220">
        <f>F33*$C$8</f>
        <v/>
      </c>
      <c r="N33" s="187">
        <f>N32+1</f>
        <v/>
      </c>
      <c r="O33" s="220">
        <f>O32+P32</f>
        <v/>
      </c>
      <c r="P33" s="295">
        <f>O33*((1+$M$4)^(1/365.25)-1)</f>
        <v/>
      </c>
      <c r="Q33" s="220">
        <f>P33*$M$8</f>
        <v/>
      </c>
      <c r="V33" s="187">
        <f>V32+1</f>
        <v/>
      </c>
      <c r="W33" s="220">
        <f>W32+X32</f>
        <v/>
      </c>
      <c r="X33" s="295">
        <f>W33*((1+$U$4)^(1/365.25)-1)</f>
        <v/>
      </c>
      <c r="Y33" s="220">
        <f>X33*$U$8</f>
        <v/>
      </c>
    </row>
    <row r="34" ht="15" customHeight="1" s="188">
      <c r="D34" s="187">
        <f>D33+1</f>
        <v/>
      </c>
      <c r="E34" s="220">
        <f>E33+F33</f>
        <v/>
      </c>
      <c r="F34" s="295">
        <f>E34*((1+$C$4)^(1/365.25)-1)</f>
        <v/>
      </c>
      <c r="G34" s="220">
        <f>F34*$C$8</f>
        <v/>
      </c>
      <c r="N34" s="187">
        <f>N33+1</f>
        <v/>
      </c>
      <c r="O34" s="220">
        <f>O33+P33</f>
        <v/>
      </c>
      <c r="P34" s="295">
        <f>O34*((1+$M$4)^(1/365.25)-1)</f>
        <v/>
      </c>
      <c r="Q34" s="220">
        <f>P34*$M$8</f>
        <v/>
      </c>
      <c r="V34" s="187">
        <f>V33+1</f>
        <v/>
      </c>
      <c r="W34" s="220">
        <f>W33+X33</f>
        <v/>
      </c>
      <c r="X34" s="295">
        <f>W34*((1+$U$4)^(1/365.25)-1)</f>
        <v/>
      </c>
      <c r="Y34" s="220">
        <f>X34*$U$8</f>
        <v/>
      </c>
    </row>
    <row r="35" ht="15" customHeight="1" s="188">
      <c r="D35" s="187">
        <f>D34+1</f>
        <v/>
      </c>
      <c r="E35" s="220">
        <f>E34+F34</f>
        <v/>
      </c>
      <c r="F35" s="295">
        <f>E35*((1+$C$4)^(1/365.25)-1)</f>
        <v/>
      </c>
      <c r="G35" s="220">
        <f>F35*$C$8</f>
        <v/>
      </c>
      <c r="N35" s="187">
        <f>N34+1</f>
        <v/>
      </c>
      <c r="O35" s="220">
        <f>O34+P34</f>
        <v/>
      </c>
      <c r="P35" s="295">
        <f>O35*((1+$M$4)^(1/365.25)-1)</f>
        <v/>
      </c>
      <c r="Q35" s="220">
        <f>P35*$M$8</f>
        <v/>
      </c>
      <c r="V35" s="187">
        <f>V34+1</f>
        <v/>
      </c>
      <c r="W35" s="220">
        <f>W34+X34</f>
        <v/>
      </c>
      <c r="X35" s="295">
        <f>W35*((1+$U$4)^(1/365.25)-1)</f>
        <v/>
      </c>
      <c r="Y35" s="220">
        <f>X35*$U$8</f>
        <v/>
      </c>
    </row>
    <row r="36" ht="15" customHeight="1" s="188">
      <c r="D36" s="187">
        <f>D35+1</f>
        <v/>
      </c>
      <c r="E36" s="220">
        <f>E35+F35</f>
        <v/>
      </c>
      <c r="F36" s="295">
        <f>E36*((1+$C$4)^(1/365.25)-1)</f>
        <v/>
      </c>
      <c r="G36" s="220">
        <f>F36*$C$8</f>
        <v/>
      </c>
      <c r="N36" s="187">
        <f>N35+1</f>
        <v/>
      </c>
      <c r="O36" s="220">
        <f>O35+P35</f>
        <v/>
      </c>
      <c r="P36" s="295">
        <f>O36*((1+$M$4)^(1/365.25)-1)</f>
        <v/>
      </c>
      <c r="Q36" s="220">
        <f>P36*$M$8</f>
        <v/>
      </c>
      <c r="V36" s="187">
        <f>V35+1</f>
        <v/>
      </c>
      <c r="W36" s="220">
        <f>W35+X35</f>
        <v/>
      </c>
      <c r="X36" s="295">
        <f>W36*((1+$U$4)^(1/365.25)-1)</f>
        <v/>
      </c>
      <c r="Y36" s="220">
        <f>X36*$U$8</f>
        <v/>
      </c>
    </row>
    <row r="37" ht="15" customHeight="1" s="188">
      <c r="D37" s="187">
        <f>D36+1</f>
        <v/>
      </c>
      <c r="E37" s="220">
        <f>E36+F36</f>
        <v/>
      </c>
      <c r="F37" s="295">
        <f>E37*((1+$C$4)^(1/365.25)-1)</f>
        <v/>
      </c>
      <c r="G37" s="220">
        <f>F37*$C$8</f>
        <v/>
      </c>
      <c r="N37" s="187">
        <f>N36+1</f>
        <v/>
      </c>
      <c r="O37" s="220">
        <f>O36+P36</f>
        <v/>
      </c>
      <c r="P37" s="295">
        <f>O37*((1+$M$4)^(1/365.25)-1)</f>
        <v/>
      </c>
      <c r="Q37" s="220">
        <f>P37*$M$8</f>
        <v/>
      </c>
      <c r="V37" s="187">
        <f>V36+1</f>
        <v/>
      </c>
      <c r="W37" s="220">
        <f>W36+X36</f>
        <v/>
      </c>
      <c r="X37" s="295">
        <f>W37*((1+$U$4)^(1/365.25)-1)</f>
        <v/>
      </c>
      <c r="Y37" s="220">
        <f>X37*$U$8</f>
        <v/>
      </c>
    </row>
    <row r="38" ht="15" customHeight="1" s="188">
      <c r="D38" s="187">
        <f>D37+1</f>
        <v/>
      </c>
      <c r="E38" s="220">
        <f>E37+F37</f>
        <v/>
      </c>
      <c r="F38" s="295">
        <f>E38*((1+$C$4)^(1/365.25)-1)</f>
        <v/>
      </c>
      <c r="G38" s="220">
        <f>F38*$C$8</f>
        <v/>
      </c>
      <c r="N38" s="187">
        <f>N37+1</f>
        <v/>
      </c>
      <c r="O38" s="220">
        <f>O37+P37</f>
        <v/>
      </c>
      <c r="P38" s="295">
        <f>O38*((1+$M$4)^(1/365.25)-1)</f>
        <v/>
      </c>
      <c r="Q38" s="220">
        <f>P38*$M$8</f>
        <v/>
      </c>
      <c r="V38" s="187">
        <f>V37+1</f>
        <v/>
      </c>
      <c r="W38" s="220">
        <f>W37+X37</f>
        <v/>
      </c>
      <c r="X38" s="295">
        <f>W38*((1+$U$4)^(1/365.25)-1)</f>
        <v/>
      </c>
      <c r="Y38" s="220">
        <f>X38*$U$8</f>
        <v/>
      </c>
    </row>
    <row r="43" ht="15" customHeight="1" s="188">
      <c r="A43" s="187" t="inlineStr">
        <is>
          <t>Total investie</t>
        </is>
      </c>
      <c r="B43" s="187">
        <f>5000+2500</f>
        <v/>
      </c>
    </row>
    <row r="44" ht="15" customHeight="1" s="188">
      <c r="A44" s="187" t="inlineStr">
        <is>
          <t>Total Réel</t>
        </is>
      </c>
      <c r="B44" s="220">
        <f>M10+U11</f>
        <v/>
      </c>
    </row>
    <row r="45" ht="15" customHeight="1" s="188">
      <c r="A45" s="187" t="inlineStr">
        <is>
          <t>Total jour</t>
        </is>
      </c>
      <c r="B45" s="220">
        <f>G8+Q8+Y8</f>
        <v/>
      </c>
    </row>
    <row r="46" ht="15" customHeight="1" s="188">
      <c r="A46" s="187" t="inlineStr">
        <is>
          <t>Total mois</t>
        </is>
      </c>
      <c r="B46" s="187">
        <f>D5+N5+V5</f>
        <v/>
      </c>
    </row>
    <row r="47" ht="15" customHeight="1" s="188">
      <c r="A47" s="187" t="inlineStr">
        <is>
          <t xml:space="preserve">Rentabilité %Mois </t>
        </is>
      </c>
      <c r="B47" s="187">
        <f>(B46*100/B44)</f>
        <v/>
      </c>
    </row>
    <row r="48" ht="15" customHeight="1" s="188">
      <c r="A48" s="187" t="inlineStr">
        <is>
          <t>Rentatbilité %Jour</t>
        </is>
      </c>
      <c r="B48" s="187">
        <f>B45*100/B44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42" activeCellId="0" sqref="A42"/>
    </sheetView>
  </sheetViews>
  <sheetFormatPr baseColWidth="8" defaultColWidth="8.71484375" defaultRowHeight="15" zeroHeight="0" outlineLevelRow="0"/>
  <cols>
    <col width="42" customWidth="1" style="187" min="1" max="1"/>
    <col width="14" customWidth="1" style="187" min="2" max="2"/>
    <col width="17.71" customWidth="1" style="187" min="3" max="3"/>
    <col width="26" customWidth="1" style="187" min="4" max="4"/>
    <col width="14" customWidth="1" style="187" min="5" max="5"/>
    <col width="12.15" customWidth="1" style="187" min="6" max="6"/>
    <col width="26" customWidth="1" style="187" min="7" max="7"/>
    <col width="14" customWidth="1" style="187" min="8" max="8"/>
  </cols>
  <sheetData>
    <row r="1" ht="18" customHeight="1" s="188">
      <c r="A1" s="296" t="inlineStr">
        <is>
          <t>SUIVI TRADING - POSITIONS EN COURS</t>
        </is>
      </c>
    </row>
    <row r="2" ht="15" customHeight="1" s="188">
      <c r="A2" s="222" t="inlineStr">
        <is>
          <t>Cellules jaunes = à saisir. Le reste se calcule automatiquement. Reprend et corrige votre fichier d'origine (taux de vente absent, frais harmonisés).</t>
        </is>
      </c>
    </row>
    <row r="3" ht="15" customHeight="1" s="188">
      <c r="A3" s="297" t="inlineStr">
        <is>
          <t xml:space="preserve">  Bleu = latent (non réalisé)      Vert = réalisé (encaissé)      Orange = combiné (latent + réalisé)</t>
        </is>
      </c>
    </row>
    <row r="4" ht="15" customHeight="1" s="188">
      <c r="D4" s="298" t="inlineStr">
        <is>
          <t>RESULTATS SI VENTE AU PRIX VISE</t>
        </is>
      </c>
    </row>
    <row r="5" ht="15" customHeight="1" s="188">
      <c r="A5" s="298" t="inlineStr">
        <is>
          <t>POSITION 1 - TITRE COTÉ EN $</t>
        </is>
      </c>
      <c r="D5" s="299" t="inlineStr">
        <is>
          <t>PRU en € (info)</t>
        </is>
      </c>
      <c r="E5" s="300">
        <f>$B$7/(IF($B$9&lt;&gt;"",$B$7/$B$9,$B$8))</f>
        <v/>
      </c>
    </row>
    <row r="6" ht="15" customHeight="1" s="188">
      <c r="A6" s="299" t="inlineStr">
        <is>
          <t>Nombre d'actions</t>
        </is>
      </c>
      <c r="B6" s="301" t="n">
        <v>20</v>
      </c>
      <c r="D6" s="299" t="inlineStr">
        <is>
          <t>Montant achat ($)</t>
        </is>
      </c>
      <c r="E6" s="302">
        <f>$B$6*$B$7</f>
        <v/>
      </c>
    </row>
    <row r="7" ht="15" customHeight="1" s="188">
      <c r="A7" s="299" t="inlineStr">
        <is>
          <t>Prix d'achat ($)</t>
        </is>
      </c>
      <c r="B7" s="303" t="n">
        <v>505.89</v>
      </c>
      <c r="D7" s="299" t="inlineStr">
        <is>
          <t>Montant vente ($)</t>
        </is>
      </c>
      <c r="E7" s="302">
        <f>$B$6*$B$11</f>
        <v/>
      </c>
    </row>
    <row r="8" ht="15" customHeight="1" s="188">
      <c r="A8" s="299" t="inlineStr">
        <is>
          <t>Taux €/$ à l'achat</t>
        </is>
      </c>
      <c r="B8" s="304" t="n">
        <v>1.154</v>
      </c>
      <c r="D8" s="299" t="inlineStr">
        <is>
          <t>Bénéfice brut ($)</t>
        </is>
      </c>
      <c r="E8" s="302">
        <f>E7-E6</f>
        <v/>
      </c>
      <c r="F8" s="305">
        <f>IF(OR($B$8&lt;0.8,$B$8&gt;1.3),"⚠ Taux inhabituel (attendu ~1,00-1,20)","")</f>
        <v/>
      </c>
    </row>
    <row r="9" ht="15" customHeight="1" s="188">
      <c r="A9" s="299" t="inlineStr">
        <is>
          <t>OU : PRU initial en € (optionnel)</t>
        </is>
      </c>
      <c r="B9" s="306" t="n"/>
      <c r="C9" s="222" t="inlineStr">
        <is>
          <t>Si vous connaissez votre PRU dans les 2 devises, remplissez cette case : le taux d'achat ci-dessus sera déduit automatiquement (PRU $ ÷ PRU €) et la case jaune du taux sera ignorée.</t>
        </is>
      </c>
      <c r="D9" s="299" t="inlineStr">
        <is>
          <t>Montant achat (€)</t>
        </is>
      </c>
      <c r="E9" s="300">
        <f>E6/(IF($B$9&lt;&gt;"",$B$7/$B$9,$B$8))</f>
        <v/>
      </c>
    </row>
    <row r="10" ht="15" customHeight="1" s="188">
      <c r="A10" s="299" t="inlineStr">
        <is>
          <t>→ Taux déduit (info)</t>
        </is>
      </c>
      <c r="B10" s="307">
        <f>IF($B$9&lt;&gt;"",$B$7/$B$9,"")</f>
        <v/>
      </c>
      <c r="D10" s="299" t="inlineStr">
        <is>
          <t>Montant vente (€)</t>
        </is>
      </c>
      <c r="E10" s="300">
        <f>E7/$B$12</f>
        <v/>
      </c>
    </row>
    <row r="11" ht="15" customHeight="1" s="188">
      <c r="A11" s="299" t="inlineStr">
        <is>
          <t>Prix de vente visé ($)</t>
        </is>
      </c>
      <c r="B11" s="303" t="n">
        <v>525</v>
      </c>
      <c r="D11" s="229" t="inlineStr">
        <is>
          <t>Bénéfice NET (€)</t>
        </is>
      </c>
      <c r="E11" s="308">
        <f>E10-E9-$B$14</f>
        <v/>
      </c>
    </row>
    <row r="12" ht="15" customHeight="1" s="188">
      <c r="A12" s="299" t="inlineStr">
        <is>
          <t>Taux €/$ à la vente</t>
        </is>
      </c>
      <c r="B12" s="304" t="n">
        <v>1.154</v>
      </c>
      <c r="C12" s="222" t="inlineStr">
        <is>
          <t>Absent de votre fichier d'origine (seul 'taux actuel' était renseigné) : je l'ai ajouté, repris à la même valeur par défaut.</t>
        </is>
      </c>
      <c r="D12" s="229" t="inlineStr">
        <is>
          <t>Rendement net (%)</t>
        </is>
      </c>
      <c r="E12" s="309">
        <f>IF(E9=0,"",E11/E9)</f>
        <v/>
      </c>
      <c r="F12" s="305">
        <f>IF(OR($B$12&lt;0.8,$B$12&gt;1.3),"⚠ Taux inhabituel (attendu ~1,00-1,20)","")</f>
        <v/>
      </c>
    </row>
    <row r="13" ht="15" customHeight="1" s="188">
      <c r="A13" s="299" t="inlineStr">
        <is>
          <t>Taux €/$ actuel</t>
        </is>
      </c>
      <c r="B13" s="304" t="n">
        <v>1.154</v>
      </c>
      <c r="F13" s="305">
        <f>IF(OR($B$13&lt;0.8,$B$13&gt;1.3),"⚠ Taux inhabituel (attendu ~1,00-1,20)","")</f>
        <v/>
      </c>
    </row>
    <row r="14" ht="15" customHeight="1" s="188">
      <c r="A14" s="299" t="inlineStr">
        <is>
          <t>Frais de transaction (€)</t>
        </is>
      </c>
      <c r="B14" s="306" t="n">
        <v>27</v>
      </c>
      <c r="D14" s="298" t="inlineStr">
        <is>
          <t>SI STOP LOSS DECLENCHE</t>
        </is>
      </c>
    </row>
    <row r="15" ht="15" customHeight="1" s="188">
      <c r="A15" s="299" t="inlineStr">
        <is>
          <t>Seuil Stop Loss (%)</t>
        </is>
      </c>
      <c r="B15" s="310" t="n">
        <v>0.01</v>
      </c>
      <c r="C15" s="222" t="inlineStr">
        <is>
          <t>1% repris de votre fichier (D10 = C5-C5*1%).</t>
        </is>
      </c>
      <c r="D15" s="299" t="inlineStr">
        <is>
          <t>Prix stop ($)</t>
        </is>
      </c>
      <c r="E15" s="302">
        <f>$B$7*(1-$B$15)</f>
        <v/>
      </c>
    </row>
    <row r="16" ht="15" customHeight="1" s="188">
      <c r="A16" s="299" t="inlineStr">
        <is>
          <t>Ratio Gain/Perte visé</t>
        </is>
      </c>
      <c r="B16" s="301" t="n">
        <v>2.5</v>
      </c>
      <c r="C16" s="222" t="inlineStr">
        <is>
          <t>Ex. 2,5 = viser un gain 2,5x supérieur à la perte potentielle au stop loss (risk/reward 2,5:1).</t>
        </is>
      </c>
      <c r="D16" s="299" t="inlineStr">
        <is>
          <t>Montant au stop ($)</t>
        </is>
      </c>
      <c r="E16" s="302">
        <f>$B$6*E15</f>
        <v/>
      </c>
    </row>
    <row r="17" ht="15" customHeight="1" s="188">
      <c r="A17" s="299" t="inlineStr">
        <is>
          <t>→ Prix de vente cible (ratio, en €) ($)</t>
        </is>
      </c>
      <c r="B17" s="311">
        <f>$B$12*(E20+E9+$B$14)/$B$6</f>
        <v/>
      </c>
      <c r="C17" s="222" t="inlineStr">
        <is>
          <t>Prix pour lequel le Bénéfice NET (€) = Objectif de gain visé (€), lui-même = ratio × |Perte au stop (€)|. Recopiez cette valeur dans 'Prix de vente visé' si vous voulez l'utiliser comme objectif.</t>
        </is>
      </c>
      <c r="D17" s="299" t="inlineStr">
        <is>
          <t>Montant au stop (€)</t>
        </is>
      </c>
      <c r="E17" s="300">
        <f>E16/$B$13</f>
        <v/>
      </c>
    </row>
    <row r="18" ht="15" customHeight="1" s="188">
      <c r="A18" s="299" t="inlineStr">
        <is>
          <t>Prix +5% (référence)</t>
        </is>
      </c>
      <c r="B18" s="302">
        <f>$B$7*1.05</f>
        <v/>
      </c>
      <c r="C18" s="222" t="inlineStr">
        <is>
          <t>Repris de votre cellule D6 - simple repère, n'alimente aucun calcul.</t>
        </is>
      </c>
      <c r="D18" s="229" t="inlineStr">
        <is>
          <t>Perte au stop (€)</t>
        </is>
      </c>
      <c r="E18" s="312">
        <f>E17-E9-$B$14</f>
        <v/>
      </c>
    </row>
    <row r="19" ht="15" customHeight="1" s="188">
      <c r="D19" s="229" t="inlineStr">
        <is>
          <t>Perte au stop (%)</t>
        </is>
      </c>
      <c r="E19" s="313">
        <f>IF(E9=0,"",E18/E9)</f>
        <v/>
      </c>
    </row>
    <row r="20" ht="15" customHeight="1" s="188">
      <c r="D20" s="299" t="inlineStr">
        <is>
          <t>→ Objectif de gain visé (€) = ratio × perte au stop</t>
        </is>
      </c>
      <c r="E20" s="314">
        <f>$B$16*(-E18)</f>
        <v/>
      </c>
    </row>
    <row r="22" ht="15" customHeight="1" s="188">
      <c r="A22" s="298" t="inlineStr">
        <is>
          <t>POSITION 2 - TITRE COTÉ EN €</t>
        </is>
      </c>
      <c r="D22" s="298" t="inlineStr">
        <is>
          <t>RESULTATS SI VENTE AU PRIX VISE</t>
        </is>
      </c>
    </row>
    <row r="23" ht="15" customHeight="1" s="188">
      <c r="A23" s="299" t="inlineStr">
        <is>
          <t>Nombre d'actions</t>
        </is>
      </c>
      <c r="B23" s="301" t="n">
        <v>150</v>
      </c>
      <c r="D23" s="299" t="inlineStr">
        <is>
          <t>Montant investi, frais inclus (€)</t>
        </is>
      </c>
      <c r="E23" s="300">
        <f>$B$23*$B$24+$B$26</f>
        <v/>
      </c>
    </row>
    <row r="24" ht="15" customHeight="1" s="188">
      <c r="A24" s="299" t="inlineStr">
        <is>
          <t>Prix d'achat (€)</t>
        </is>
      </c>
      <c r="B24" s="306" t="n">
        <v>74.06999999999999</v>
      </c>
      <c r="D24" s="299" t="inlineStr">
        <is>
          <t>Montant vente (€)</t>
        </is>
      </c>
      <c r="E24" s="300">
        <f>$B$23*$B$25</f>
        <v/>
      </c>
    </row>
    <row r="25" ht="15" customHeight="1" s="188">
      <c r="A25" s="299" t="inlineStr">
        <is>
          <t>Prix de vente visé (€)</t>
        </is>
      </c>
      <c r="B25" s="306" t="n">
        <v>76.65000000000001</v>
      </c>
      <c r="D25" s="229" t="inlineStr">
        <is>
          <t>Bénéfice NET (€)</t>
        </is>
      </c>
      <c r="E25" s="308">
        <f>E24-E23</f>
        <v/>
      </c>
    </row>
    <row r="26" ht="15" customHeight="1" s="188">
      <c r="A26" s="299" t="inlineStr">
        <is>
          <t>Frais de transaction (€)</t>
        </is>
      </c>
      <c r="B26" s="306" t="n">
        <v>20</v>
      </c>
      <c r="D26" s="229" t="inlineStr">
        <is>
          <t>Rendement net (%)</t>
        </is>
      </c>
      <c r="E26" s="309">
        <f>IF(E23=0,"",E25/E23)</f>
        <v/>
      </c>
    </row>
    <row r="27" ht="15" customHeight="1" s="188">
      <c r="A27" s="299" t="inlineStr">
        <is>
          <t>Seuil Stop Loss (%)</t>
        </is>
      </c>
      <c r="B27" s="310" t="n">
        <v>0.01</v>
      </c>
      <c r="C27" s="222" t="inlineStr">
        <is>
          <t>1% repris de votre fichier (C17 = C15-C15*1%).</t>
        </is>
      </c>
    </row>
    <row r="28" ht="15" customHeight="1" s="188">
      <c r="D28" s="298" t="inlineStr">
        <is>
          <t>SI STOP LOSS DECLENCHE</t>
        </is>
      </c>
    </row>
    <row r="29" ht="15" customHeight="1" s="188">
      <c r="D29" s="299" t="inlineStr">
        <is>
          <t>Prix stop (€)</t>
        </is>
      </c>
      <c r="E29" s="300">
        <f>$B$24*(1-$B$27)</f>
        <v/>
      </c>
    </row>
    <row r="30" ht="15" customHeight="1" s="188">
      <c r="D30" s="299" t="inlineStr">
        <is>
          <t>Montant au stop (€)</t>
        </is>
      </c>
      <c r="E30" s="300">
        <f>$B$23*E29</f>
        <v/>
      </c>
    </row>
    <row r="31" ht="15" customHeight="1" s="188">
      <c r="D31" s="229" t="inlineStr">
        <is>
          <t>Perte au stop (€)</t>
        </is>
      </c>
      <c r="E31" s="312">
        <f>E30-E23</f>
        <v/>
      </c>
    </row>
    <row r="32" ht="15" customHeight="1" s="188">
      <c r="D32" s="229" t="inlineStr">
        <is>
          <t>Perte au stop (%)</t>
        </is>
      </c>
      <c r="E32" s="313">
        <f>IF(E23=0,"",E31/E23)</f>
        <v/>
      </c>
    </row>
    <row r="38" ht="15" customHeight="1" s="188">
      <c r="A38" s="298" t="inlineStr">
        <is>
          <t>SUIVI DES ALLERS-RETOURS (mouvements de trésorerie)</t>
        </is>
      </c>
    </row>
    <row r="39" ht="15" customHeight="1" s="188">
      <c r="A39" s="222" t="inlineStr">
        <is>
          <t>Reprend votre tableau 'suivi AR' : chaque ligne est un mouvement (+/-), le solde se cumule automatiquement.</t>
        </is>
      </c>
    </row>
    <row r="41" ht="165" customHeight="1" s="188">
      <c r="A41" s="315" t="inlineStr">
        <is>
          <t>Libellé / Titre</t>
        </is>
      </c>
      <c r="B41" s="315" t="inlineStr">
        <is>
          <t>Mouvement (€)</t>
        </is>
      </c>
      <c r="C41" s="315" t="inlineStr">
        <is>
          <t>Solde cumulé (€)</t>
        </is>
      </c>
    </row>
    <row r="42" ht="15" customHeight="1" s="188">
      <c r="A42" s="316" t="inlineStr">
        <is>
          <t>Solde initial</t>
        </is>
      </c>
      <c r="B42" s="306" t="n">
        <v>864</v>
      </c>
      <c r="C42" s="308">
        <f>B42</f>
        <v/>
      </c>
    </row>
    <row r="43" ht="15" customHeight="1" s="188">
      <c r="A43" s="316" t="inlineStr">
        <is>
          <t>Intuit</t>
        </is>
      </c>
      <c r="B43" s="306" t="n">
        <v>-1380</v>
      </c>
      <c r="C43" s="308">
        <f>C42+B43</f>
        <v/>
      </c>
    </row>
    <row r="44" ht="15" customHeight="1" s="188">
      <c r="A44" s="316" t="inlineStr">
        <is>
          <t>Space Mobile</t>
        </is>
      </c>
      <c r="B44" s="306" t="n">
        <v>-121</v>
      </c>
      <c r="C44" s="308">
        <f>C43+B44</f>
        <v/>
      </c>
    </row>
    <row r="45" ht="15" customHeight="1" s="188">
      <c r="A45" s="316" t="inlineStr">
        <is>
          <t>Sandisk</t>
        </is>
      </c>
      <c r="B45" s="306" t="n">
        <v>1200</v>
      </c>
      <c r="C45" s="308">
        <f>C44+B45</f>
        <v/>
      </c>
    </row>
    <row r="46" ht="15" customHeight="1" s="188">
      <c r="A46" s="316" t="inlineStr">
        <is>
          <t>SpaceX</t>
        </is>
      </c>
      <c r="B46" s="306" t="n">
        <v>106</v>
      </c>
      <c r="C46" s="308">
        <f>C45+B46</f>
        <v/>
      </c>
    </row>
    <row r="47" ht="15" customHeight="1" s="188">
      <c r="A47" s="316" t="inlineStr">
        <is>
          <t>Sandisk</t>
        </is>
      </c>
      <c r="B47" s="306" t="n">
        <v>-1220</v>
      </c>
      <c r="C47" s="308">
        <f>C46+B47</f>
        <v/>
      </c>
    </row>
    <row r="48" ht="15" customHeight="1" s="188">
      <c r="A48" s="316" t="inlineStr">
        <is>
          <t>Space Mobile</t>
        </is>
      </c>
      <c r="B48" s="316" t="n">
        <v>-101</v>
      </c>
      <c r="C48" s="308">
        <f>IF(B48="","",C47+B48)</f>
        <v/>
      </c>
    </row>
    <row r="49" ht="15" customHeight="1" s="188">
      <c r="A49" s="316" t="n"/>
      <c r="B49" s="316" t="n"/>
      <c r="C49" s="308">
        <f>IF(B49="","",C48+B49)</f>
        <v/>
      </c>
    </row>
    <row r="50" ht="15" customHeight="1" s="188">
      <c r="A50" s="317" t="n"/>
      <c r="B50" s="316" t="n"/>
      <c r="C50" s="308">
        <f>IF(B50="","",C49+B50)</f>
        <v/>
      </c>
    </row>
    <row r="51" ht="15" customHeight="1" s="188">
      <c r="A51" s="317" t="n"/>
      <c r="B51" s="316" t="n"/>
      <c r="C51" s="308">
        <f>IF(B51="","",C50+B51)</f>
        <v/>
      </c>
    </row>
    <row r="52" ht="15" customHeight="1" s="188">
      <c r="A52" s="317" t="n"/>
      <c r="B52" s="316" t="n"/>
      <c r="C52" s="308">
        <f>IF(B52="","",C51+B52)</f>
        <v/>
      </c>
    </row>
    <row r="53" ht="15" customHeight="1" s="188">
      <c r="A53" s="317" t="n"/>
      <c r="B53" s="316" t="n"/>
      <c r="C53" s="308">
        <f>IF(B53="","",C52+B53)</f>
        <v/>
      </c>
    </row>
    <row r="54" ht="15" customHeight="1" s="188">
      <c r="A54" s="317" t="n"/>
      <c r="B54" s="316" t="n"/>
      <c r="C54" s="308">
        <f>IF(B54="","",C53+B54)</f>
        <v/>
      </c>
    </row>
    <row r="55" ht="15" customHeight="1" s="188">
      <c r="A55" s="317" t="n"/>
      <c r="B55" s="316" t="n"/>
      <c r="C55" s="308">
        <f>IF(B55="","",C54+B55)</f>
        <v/>
      </c>
    </row>
    <row r="56" ht="15" customHeight="1" s="188">
      <c r="A56" s="317" t="n"/>
      <c r="B56" s="316" t="n"/>
      <c r="C56" s="308">
        <f>IF(B56="","",C55+B56)</f>
        <v/>
      </c>
    </row>
    <row r="57" ht="15" customHeight="1" s="188">
      <c r="A57" s="317" t="n"/>
      <c r="B57" s="316" t="n"/>
      <c r="C57" s="308">
        <f>IF(B57="","",C56+B57)</f>
        <v/>
      </c>
    </row>
    <row r="59" ht="15" customHeight="1" s="188">
      <c r="A59" s="298" t="inlineStr">
        <is>
          <t>SIMULATEUR ACHAT / VENTE PARTIELLE / RACHAT</t>
        </is>
      </c>
    </row>
    <row r="60" ht="15" customHeight="1" s="188">
      <c r="A60" s="222" t="inlineStr">
        <is>
          <t>Ex. : j'achète 10 actions à 100, j'en revends 5 à 70, puis je rachète 5 à 50. Modifiez les cellules jaunes pour votre propre scénario.</t>
        </is>
      </c>
    </row>
    <row r="62" ht="15" customHeight="1" s="188">
      <c r="A62" s="299" t="inlineStr">
        <is>
          <t>Devise</t>
        </is>
      </c>
      <c r="B62" s="316" t="inlineStr">
        <is>
          <t>USD</t>
        </is>
      </c>
      <c r="C62" s="222" t="inlineStr">
        <is>
          <t>USD = conversion €/$ à chaque étape (taux ci-dessous). EUR = pas de conversion, taux ignorés.</t>
        </is>
      </c>
      <c r="D62" s="298" t="inlineStr">
        <is>
          <t>SCENARIO A - NE RIEN FAIRE (garder la position initiale)</t>
        </is>
      </c>
    </row>
    <row r="63" ht="15" customHeight="1" s="188">
      <c r="D63" s="299" t="inlineStr">
        <is>
          <t>Montant investi initial (€)</t>
        </is>
      </c>
      <c r="E63" s="300">
        <f>($B$65*$B$66+$B$70)/(IF($B$62="EUR",1,IF($B$68&lt;&gt;"",$B$66/$B$68,$B$67)))</f>
        <v/>
      </c>
    </row>
    <row r="64" ht="15" customHeight="1" s="188">
      <c r="A64" s="229" t="inlineStr">
        <is>
          <t>— ACHAT INITIAL —</t>
        </is>
      </c>
      <c r="D64" s="299" t="inlineStr">
        <is>
          <t>Valeur actuelle de la position (€)</t>
        </is>
      </c>
      <c r="E64" s="300">
        <f>($B$65*$B$84)/(IF($B$62="EUR",1,$B$85))</f>
        <v/>
      </c>
    </row>
    <row r="65" ht="15" customHeight="1" s="188">
      <c r="A65" s="299" t="inlineStr">
        <is>
          <t>Quantité achetée</t>
        </is>
      </c>
      <c r="B65" s="318" t="n">
        <v>10.5</v>
      </c>
      <c r="D65" s="229" t="inlineStr">
        <is>
          <t>PV/MV latente (€)</t>
        </is>
      </c>
      <c r="E65" s="319">
        <f>E64-E63</f>
        <v/>
      </c>
    </row>
    <row r="66" ht="15" customHeight="1" s="188">
      <c r="A66" s="299" t="inlineStr">
        <is>
          <t>Prix d'achat / PRU initial (devise)</t>
        </is>
      </c>
      <c r="B66" s="320" t="n">
        <v>1360.78</v>
      </c>
      <c r="C66" s="222" t="inlineStr">
        <is>
          <t>Si vous détenez déjà la position depuis plusieurs achats, mettez ici votre PRU réel (coût moyen), pas le prix d'un seul ordre.</t>
        </is>
      </c>
    </row>
    <row r="67" ht="15" customHeight="1" s="188">
      <c r="A67" s="299" t="inlineStr">
        <is>
          <t>Taux €/$ à l'achat (si USD)</t>
        </is>
      </c>
      <c r="B67" s="304" t="n">
        <v>1.1462</v>
      </c>
      <c r="C67" s="305">
        <f>IF(OR($B$67&lt;0.8,$B$67&gt;1.3),"⚠ Taux inhabituel (attendu ~1,00-1,20)","")</f>
        <v/>
      </c>
      <c r="D67" s="298" t="inlineStr">
        <is>
          <t>SCENARIO B - VENTE PARTIELLE + RACHAT</t>
        </is>
      </c>
    </row>
    <row r="68" ht="15" customHeight="1" s="188">
      <c r="A68" s="299" t="inlineStr">
        <is>
          <t>OU : PRU initial en € (optionnel)</t>
        </is>
      </c>
      <c r="B68" s="306" t="n">
        <v>1187.17</v>
      </c>
      <c r="C68" s="222" t="inlineStr">
        <is>
          <t>Si vous connaissez votre PRU dans les 2 devises (ex. relevé de courtier), remplissez cette case : le taux d'achat ci-dessus sera déduit automatiquement (PRU $ ÷ PRU €) et la case jaune au-dessus sera ignorée.</t>
        </is>
      </c>
      <c r="D68" s="299" t="inlineStr">
        <is>
          <t>PRU initial (€/action)</t>
        </is>
      </c>
      <c r="E68" s="300">
        <f>($B$65*$B$66+$B$70)/(IF($B$62="EUR",1,IF($B$68&lt;&gt;"",$B$66/$B$68,$B$67)))/$B$65</f>
        <v/>
      </c>
    </row>
    <row r="69" ht="15" customHeight="1" s="188">
      <c r="A69" s="299" t="inlineStr">
        <is>
          <t>→ Taux déduit (info)</t>
        </is>
      </c>
      <c r="B69" s="307">
        <f>IF($B$68&lt;&gt;"",$B$66/$B$68,"")</f>
        <v/>
      </c>
      <c r="D69" s="299" t="inlineStr">
        <is>
          <t>Montant encaissé à la vente (€)</t>
        </is>
      </c>
      <c r="E69" s="300">
        <f>($B$73*$B$74-$B$76)/(IF($B$62="EUR",1,$B$75))</f>
        <v/>
      </c>
    </row>
    <row r="70" ht="15" customHeight="1" s="188">
      <c r="A70" s="299" t="inlineStr">
        <is>
          <t>Frais d'achat (€)</t>
        </is>
      </c>
      <c r="B70" s="306" t="n">
        <v>0</v>
      </c>
      <c r="D70" s="299" t="inlineStr">
        <is>
          <t>Coût alloué à la partie vendue (€)</t>
        </is>
      </c>
      <c r="E70" s="300">
        <f>$B$73*E68</f>
        <v/>
      </c>
    </row>
    <row r="71" ht="15" customHeight="1" s="188">
      <c r="D71" s="229" t="inlineStr">
        <is>
          <t>Profit/perte REALISE sur la vente (€)</t>
        </is>
      </c>
      <c r="E71" s="308">
        <f>E69-E70</f>
        <v/>
      </c>
    </row>
    <row r="72" ht="15" customHeight="1" s="188">
      <c r="A72" s="229" t="inlineStr">
        <is>
          <t>— VENTE PARTIELLE —</t>
        </is>
      </c>
      <c r="D72" s="299" t="inlineStr">
        <is>
          <t>Quantité restante après vente</t>
        </is>
      </c>
      <c r="E72" s="321">
        <f>$B$65-$B$73</f>
        <v/>
      </c>
    </row>
    <row r="73" ht="15" customHeight="1" s="188">
      <c r="A73" s="299" t="inlineStr">
        <is>
          <t>Quantité vendue</t>
        </is>
      </c>
      <c r="B73" s="318" t="n">
        <v>5</v>
      </c>
      <c r="D73" s="299" t="inlineStr">
        <is>
          <t>Montant du rachat (€)</t>
        </is>
      </c>
      <c r="E73" s="300">
        <f>($B$79*$B$80+$B$82)/(IF($B$62="EUR",1,$B$81))</f>
        <v/>
      </c>
    </row>
    <row r="74" ht="15" customHeight="1" s="188">
      <c r="A74" s="299" t="inlineStr">
        <is>
          <t>Prix de vente (devise)</t>
        </is>
      </c>
      <c r="B74" s="320" t="n">
        <v>1300</v>
      </c>
      <c r="D74" s="299" t="inlineStr">
        <is>
          <t>→ Quantité rachetable avec le produit de la vente (info)</t>
        </is>
      </c>
      <c r="E74" s="322">
        <f>IF($B$80=0,"",(E69-$B$82)/($B$80/(IF($B$62="EUR",1,$B$81))))</f>
        <v/>
      </c>
      <c r="F74" s="222" t="inlineStr">
        <is>
          <t>Combien d'actions le montant encaissé à la vente permet de racheter au prix de rachat saisi, frais déduits. A titre indicatif - reportez cette valeur dans 'Quantité rachetée' si vous voulez réinvestir exactement le produit de la vente.</t>
        </is>
      </c>
    </row>
    <row r="75" ht="15" customHeight="1" s="188">
      <c r="A75" s="299" t="inlineStr">
        <is>
          <t>Taux €/$ à la vente (si USD)</t>
        </is>
      </c>
      <c r="B75" s="304" t="n">
        <v>1.152</v>
      </c>
      <c r="C75" s="305">
        <f>IF(OR($B$75&lt;0.8,$B$75&gt;1.3),"⚠ Taux inhabituel (attendu ~1,00-1,20)","")</f>
        <v/>
      </c>
      <c r="D75" s="229" t="inlineStr">
        <is>
          <t>Nouvelle quantité totale</t>
        </is>
      </c>
      <c r="E75" s="323">
        <f>E72+$B$79</f>
        <v/>
      </c>
    </row>
    <row r="76" ht="15" customHeight="1" s="188">
      <c r="A76" s="299" t="inlineStr">
        <is>
          <t>Frais de vente (€)</t>
        </is>
      </c>
      <c r="B76" s="306" t="n">
        <v>8</v>
      </c>
      <c r="D76" s="229" t="inlineStr">
        <is>
          <t>NOUVEAU PRU (€/action)</t>
        </is>
      </c>
      <c r="E76" s="308">
        <f>IF(E75=0,"",(E72*E68+E73)/E75)</f>
        <v/>
      </c>
    </row>
    <row r="77" ht="15" customHeight="1" s="188">
      <c r="C77" s="222" t="inlineStr">
        <is>
          <t>Reconverti au taux actuel (taux d'achat/vente/rachat différents dans le temps, donc pas de conversion unique possible).</t>
        </is>
      </c>
      <c r="D77" s="229" t="inlineStr">
        <is>
          <t>NOUVEAU PRU ($, au taux actuel)</t>
        </is>
      </c>
      <c r="E77" s="324">
        <f>IF(OR(E76="",$B$62="EUR"),"",E76*(IF($B$62="EUR",1,$B$85)))</f>
        <v/>
      </c>
    </row>
    <row r="78" ht="15" customHeight="1" s="188">
      <c r="A78" s="229" t="inlineStr">
        <is>
          <t>— RACHAT —</t>
        </is>
      </c>
      <c r="D78" s="299" t="inlineStr">
        <is>
          <t>Nouveau montant investi total (€)</t>
        </is>
      </c>
      <c r="E78" s="300">
        <f>E72*E68+E73</f>
        <v/>
      </c>
    </row>
    <row r="79" ht="15" customHeight="1" s="188">
      <c r="A79" s="299" t="inlineStr">
        <is>
          <t>Quantité rachetée</t>
        </is>
      </c>
      <c r="B79" s="318" t="n">
        <v>6</v>
      </c>
      <c r="D79" s="299" t="inlineStr">
        <is>
          <t>Valeur actuelle nouvelle position (€)</t>
        </is>
      </c>
      <c r="E79" s="300">
        <f>E75*$B$84/(IF($B$62="EUR",1,$B$85))</f>
        <v/>
      </c>
    </row>
    <row r="80" ht="15" customHeight="1" s="188">
      <c r="A80" s="299" t="inlineStr">
        <is>
          <t>Prix de rachat (devise)</t>
        </is>
      </c>
      <c r="B80" s="320" t="n">
        <v>1230</v>
      </c>
      <c r="D80" s="299" t="inlineStr">
        <is>
          <t>PV/MV latente nouvelle position (€)</t>
        </is>
      </c>
      <c r="E80" s="319">
        <f>E79-E78</f>
        <v/>
      </c>
    </row>
    <row r="81" ht="15" customHeight="1" s="188">
      <c r="A81" s="299" t="inlineStr">
        <is>
          <t>Taux €/$ au rachat (si USD)</t>
        </is>
      </c>
      <c r="B81" s="304" t="n">
        <v>1.152</v>
      </c>
      <c r="C81" s="305">
        <f>IF(OR($B$81&lt;0.8,$B$81&gt;1.3),"⚠ Taux inhabituel (attendu ~1,00-1,20)","")</f>
        <v/>
      </c>
    </row>
    <row r="82" ht="15" customHeight="1" s="188">
      <c r="A82" s="299" t="inlineStr">
        <is>
          <t>Frais de rachat (€)</t>
        </is>
      </c>
      <c r="B82" s="306" t="n">
        <v>8</v>
      </c>
      <c r="D82" s="298" t="inlineStr">
        <is>
          <t>BILAN DE LA STRATEGIE</t>
        </is>
      </c>
    </row>
    <row r="83" ht="15" customHeight="1" s="188">
      <c r="D83" s="229" t="inlineStr">
        <is>
          <t>Performance totale Scénario B (€)</t>
        </is>
      </c>
      <c r="E83" s="325">
        <f>E71+E80</f>
        <v/>
      </c>
    </row>
    <row r="84" ht="15" customHeight="1" s="188">
      <c r="A84" s="299" t="inlineStr">
        <is>
          <t>Prix actuel du marché (devise)</t>
        </is>
      </c>
      <c r="B84" s="320" t="n">
        <v>1219</v>
      </c>
      <c r="D84" s="229" t="inlineStr">
        <is>
          <t>Gain (+) / Perte (-) vs Scénario A (€)</t>
        </is>
      </c>
      <c r="E84" s="325">
        <f>E83-E65</f>
        <v/>
      </c>
    </row>
    <row r="85" ht="15" customHeight="1" s="188">
      <c r="A85" s="299" t="inlineStr">
        <is>
          <t>Taux €/$ actuel (si USD)</t>
        </is>
      </c>
      <c r="B85" s="304" t="n">
        <v>1.152</v>
      </c>
      <c r="C85" s="222" t="inlineStr">
        <is>
          <t>Sert à valoriser la position finale et comparer avec le scénario 'ne rien faire'.</t>
        </is>
      </c>
    </row>
    <row r="86" ht="15" customHeight="1" s="188">
      <c r="A86" s="222" t="inlineStr">
        <is>
          <t>La devise s'applique à l'ensemble du scénario (achat, vente, rachat = soit tout en €, soit tout en $ ; pas de mélange). En USD, chaque étape a son propre taux €/$ car le cours évolue dans le temps. Exemple par défaut : achat 10@100$, vente 5@70$, rachat 5@50$.</t>
        </is>
      </c>
    </row>
    <row r="88" ht="15" customHeight="1" s="188">
      <c r="A88" s="298" t="inlineStr">
        <is>
          <t>QUELLE QUANTITE VENDRE/RACHETER POUR VISER UN GAIN DONNE ?</t>
        </is>
      </c>
    </row>
    <row r="89" ht="15" customHeight="1" s="188">
      <c r="A89" s="222" t="inlineStr">
        <is>
          <t>Reprend le prix de vente et le prix de rachat saisis ci-dessus (et leurs taux/frais). Calcule la quantité (vendue = rachetée) nécessaire pour atteindre le gain visé vs Scénario A, indépendamment de la quantité déjà saisie plus haut.</t>
        </is>
      </c>
    </row>
    <row r="91" ht="15" customHeight="1" s="188">
      <c r="A91" s="299" t="inlineStr">
        <is>
          <t>Gain visé (€)</t>
        </is>
      </c>
      <c r="B91" s="306" t="n">
        <v>200</v>
      </c>
    </row>
    <row r="92" ht="15" customHeight="1" s="188">
      <c r="A92" s="229" t="inlineStr">
        <is>
          <t>Quantité nécessaire (exacte)</t>
        </is>
      </c>
      <c r="B92" s="326">
        <f>IF(($B$74/(IF($B$62="EUR",1,$B$75))-$B$80/(IF($B$62="EUR",1,$B$81)))&lt;=0,"Impossible : le rachat n'est pas moins cher que la vente à ces prix",($B$91+($B$76/(IF($B$62="EUR",1,$B$75))+$B$82/(IF($B$62="EUR",1,$B$81))))/(($B$74/(IF($B$62="EUR",1,$B$75))-$B$80/(IF($B$62="EUR",1,$B$81)))))</f>
        <v/>
      </c>
    </row>
    <row r="93" ht="15" customHeight="1" s="188">
      <c r="A93" s="229" t="inlineStr">
        <is>
          <t>Quantité arrondie (au 0,1 supérieur)</t>
        </is>
      </c>
      <c r="B93" s="323">
        <f>IF(ISNUMBER(B92),ROUNDUP(B92,1),"")</f>
        <v/>
      </c>
    </row>
    <row r="94" ht="15" customHeight="1" s="188">
      <c r="A94" s="229" t="inlineStr">
        <is>
          <t>Gain réel obtenu avec cette quantité (€)</t>
        </is>
      </c>
      <c r="B94" s="308">
        <f>IF(B93="","",(B93*$B$74-$B$76)/(IF($B$62="EUR",1,$B$75))-(B93*$B$80+$B$82)/(IF($B$62="EUR",1,$B$81)))</f>
        <v/>
      </c>
    </row>
    <row r="95" ht="15" customHeight="1" s="188">
      <c r="A95" s="222" t="inlineStr">
        <is>
          <t>La quantité est arrondie au dixième supérieur car on ne peut pas vendre/racheter moins que la quantité exacte requise (sinon le gain visé ne serait pas atteint). Vérifiez que cette quantité ne dépasse pas votre position totale détenue.</t>
        </is>
      </c>
    </row>
    <row r="98" ht="15" customHeight="1" s="188">
      <c r="A98" s="298" t="inlineStr">
        <is>
          <t>JOURNAL DES ALLERS-RETOURS - PERFORMANCE CUMULEE</t>
        </is>
      </c>
    </row>
    <row r="99" ht="15" customHeight="1" s="188">
      <c r="A99" s="222" t="inlineStr">
        <is>
          <t>A chaque round vente+rachat, reportez ici le prix de vente, le prix de rachat et le résultat du bloc 4 ('Gain (+) / Perte (-) vs Scénario A'). Le cumul vous dit si la méthode vous rapporte vraiment quelque chose dans la durée - ne vous fiez pas au PRU seul pour juger un round, il baisse mécaniquement à chaque rachat sans que ce soit forcément gagnant.</t>
        </is>
      </c>
    </row>
    <row r="101" ht="45" customHeight="1" s="188">
      <c r="A101" s="315" t="inlineStr">
        <is>
          <t>Date</t>
        </is>
      </c>
      <c r="B101" s="315" t="inlineStr">
        <is>
          <t>Titre</t>
        </is>
      </c>
      <c r="C101" s="315" t="inlineStr">
        <is>
          <t>Prix de vente (devise)</t>
        </is>
      </c>
      <c r="D101" s="315" t="inlineStr">
        <is>
          <t>Prix de rachat (devise)</t>
        </is>
      </c>
      <c r="E101" s="315" t="inlineStr">
        <is>
          <t>Gain vs Scénario A (€)</t>
        </is>
      </c>
      <c r="F101" s="315" t="inlineStr">
        <is>
          <t>Cumul (€)</t>
        </is>
      </c>
    </row>
    <row r="102" ht="15" customHeight="1" s="188">
      <c r="A102" s="327" t="n"/>
      <c r="B102" s="316" t="inlineStr">
        <is>
          <t>Sandisk</t>
        </is>
      </c>
      <c r="C102" s="320" t="n">
        <v>1291.87</v>
      </c>
      <c r="D102" s="320" t="n">
        <v>1243.79</v>
      </c>
      <c r="E102" s="306" t="n">
        <v>194.79</v>
      </c>
      <c r="F102" s="308">
        <f>IF(E102="","",E102)</f>
        <v/>
      </c>
    </row>
    <row r="103" ht="15" customHeight="1" s="188">
      <c r="A103" s="327" t="n"/>
      <c r="B103" s="316" t="n"/>
      <c r="C103" s="320" t="n"/>
      <c r="D103" s="320" t="n"/>
      <c r="E103" s="306" t="n"/>
      <c r="F103" s="308">
        <f>IF(E103="","",F102+E103)</f>
        <v/>
      </c>
    </row>
    <row r="104" ht="15" customHeight="1" s="188">
      <c r="A104" s="327" t="n"/>
      <c r="B104" s="316" t="n"/>
      <c r="C104" s="320" t="n"/>
      <c r="D104" s="320" t="n"/>
      <c r="E104" s="306" t="n"/>
      <c r="F104" s="308">
        <f>IF(E104="","",F103+E104)</f>
        <v/>
      </c>
    </row>
    <row r="105" ht="15" customHeight="1" s="188">
      <c r="A105" s="327" t="n"/>
      <c r="B105" s="316" t="n"/>
      <c r="C105" s="320" t="n"/>
      <c r="D105" s="320" t="n"/>
      <c r="E105" s="306" t="n"/>
      <c r="F105" s="308">
        <f>IF(E105="","",F104+E105)</f>
        <v/>
      </c>
    </row>
    <row r="106" ht="15" customHeight="1" s="188">
      <c r="A106" s="327" t="n"/>
      <c r="B106" s="316" t="n"/>
      <c r="C106" s="320" t="n"/>
      <c r="D106" s="320" t="n"/>
      <c r="E106" s="306" t="n"/>
      <c r="F106" s="308">
        <f>IF(E106="","",F105+E106)</f>
        <v/>
      </c>
    </row>
    <row r="107" ht="15" customHeight="1" s="188">
      <c r="A107" s="327" t="n"/>
      <c r="B107" s="316" t="n"/>
      <c r="C107" s="320" t="n"/>
      <c r="D107" s="320" t="n"/>
      <c r="E107" s="306" t="n"/>
      <c r="F107" s="308">
        <f>IF(E107="","",F106+E107)</f>
        <v/>
      </c>
    </row>
    <row r="108" ht="15" customHeight="1" s="188">
      <c r="A108" s="327" t="n"/>
      <c r="B108" s="316" t="n"/>
      <c r="C108" s="320" t="n"/>
      <c r="D108" s="320" t="n"/>
      <c r="E108" s="306" t="n"/>
      <c r="F108" s="308">
        <f>IF(E108="","",F107+E108)</f>
        <v/>
      </c>
    </row>
    <row r="109" ht="15" customHeight="1" s="188">
      <c r="A109" s="327" t="n"/>
      <c r="B109" s="316" t="n"/>
      <c r="C109" s="320" t="n"/>
      <c r="D109" s="320" t="n"/>
      <c r="E109" s="306" t="n"/>
      <c r="F109" s="308">
        <f>IF(E109="","",F108+E109)</f>
        <v/>
      </c>
    </row>
    <row r="110" ht="15" customHeight="1" s="188">
      <c r="A110" s="327" t="n"/>
      <c r="B110" s="316" t="n"/>
      <c r="C110" s="320" t="n"/>
      <c r="D110" s="320" t="n"/>
      <c r="E110" s="306" t="n"/>
      <c r="F110" s="308">
        <f>IF(E110="","",F109+E110)</f>
        <v/>
      </c>
    </row>
    <row r="111" ht="15" customHeight="1" s="188">
      <c r="A111" s="327" t="n"/>
      <c r="B111" s="316" t="n"/>
      <c r="C111" s="320" t="n"/>
      <c r="D111" s="320" t="n"/>
      <c r="E111" s="306" t="n"/>
      <c r="F111" s="308">
        <f>IF(E111="","",F110+E111)</f>
        <v/>
      </c>
    </row>
    <row r="112" ht="15" customHeight="1" s="188">
      <c r="A112" s="327" t="n"/>
      <c r="B112" s="316" t="n"/>
      <c r="C112" s="320" t="n"/>
      <c r="D112" s="320" t="n"/>
      <c r="E112" s="306" t="n"/>
      <c r="F112" s="308">
        <f>IF(E112="","",F111+E112)</f>
        <v/>
      </c>
    </row>
    <row r="113" ht="15" customHeight="1" s="188">
      <c r="A113" s="327" t="n"/>
      <c r="B113" s="316" t="n"/>
      <c r="C113" s="320" t="n"/>
      <c r="D113" s="320" t="n"/>
      <c r="E113" s="306" t="n"/>
      <c r="F113" s="308">
        <f>IF(E113="","",F112+E113)</f>
        <v/>
      </c>
    </row>
    <row r="114" ht="15" customHeight="1" s="188">
      <c r="A114" s="327" t="n"/>
      <c r="B114" s="316" t="n"/>
      <c r="C114" s="320" t="n"/>
      <c r="D114" s="320" t="n"/>
      <c r="E114" s="306" t="n"/>
      <c r="F114" s="308">
        <f>IF(E114="","",F113+E114)</f>
        <v/>
      </c>
    </row>
    <row r="115" ht="15" customHeight="1" s="188">
      <c r="A115" s="327" t="n"/>
      <c r="B115" s="316" t="n"/>
      <c r="C115" s="320" t="n"/>
      <c r="D115" s="320" t="n"/>
      <c r="E115" s="306" t="n"/>
      <c r="F115" s="308">
        <f>IF(E115="","",F114+E115)</f>
        <v/>
      </c>
    </row>
    <row r="116" ht="15" customHeight="1" s="188">
      <c r="A116" s="327" t="n"/>
      <c r="B116" s="316" t="n"/>
      <c r="C116" s="320" t="n"/>
      <c r="D116" s="320" t="n"/>
      <c r="E116" s="306" t="n"/>
      <c r="F116" s="308">
        <f>IF(E116="","",F115+E116)</f>
        <v/>
      </c>
    </row>
    <row r="117" ht="15" customHeight="1" s="188">
      <c r="D117" s="298" t="inlineStr">
        <is>
          <t>TOTAL</t>
        </is>
      </c>
      <c r="E117" s="308">
        <f>SUM(E102:E116)</f>
        <v/>
      </c>
    </row>
    <row r="120" ht="15" customHeight="1" s="188">
      <c r="A120" s="298" t="inlineStr">
        <is>
          <t>BILAN PERFORMANCE GLOBALE - RENTABILITE SUR LE CAPITAL INITIAL</t>
        </is>
      </c>
    </row>
    <row r="121" ht="15" customHeight="1" s="188">
      <c r="A121" s="222" t="inlineStr">
        <is>
          <t>Combine le cumul des gains déjà réalisés (journal ci-dessus) et la plus/moins-value latente actuelle de la position, rapportés au capital initialement investi (quantité × PRU initial). Donne un vrai % de rentabilité globale.</t>
        </is>
      </c>
    </row>
    <row r="122" ht="15" customHeight="1" s="188">
      <c r="C122" s="299" t="inlineStr">
        <is>
          <t>Montant investi initial (€)</t>
        </is>
      </c>
      <c r="D122" s="300">
        <f>$B$124*$B$125/(IF($B$123="EUR",1,$B$126))</f>
        <v/>
      </c>
    </row>
    <row r="123" ht="15" customHeight="1" s="188">
      <c r="A123" s="299" t="inlineStr">
        <is>
          <t>Devise</t>
        </is>
      </c>
      <c r="B123" s="316" t="inlineStr">
        <is>
          <t>USD</t>
        </is>
      </c>
      <c r="C123" s="299" t="inlineStr">
        <is>
          <t>Valeur actuelle de la position (€)</t>
        </is>
      </c>
      <c r="D123" s="300">
        <f>$B$124*$B$127/(IF($B$123="EUR",1,$B$128))</f>
        <v/>
      </c>
    </row>
    <row r="124" ht="15" customHeight="1" s="188">
      <c r="A124" s="299" t="inlineStr">
        <is>
          <t>Quantité initiale achetée</t>
        </is>
      </c>
      <c r="B124" s="318" t="n">
        <v>10.5</v>
      </c>
      <c r="C124" s="299" t="inlineStr">
        <is>
          <t>PV/MV latente actuelle (€)</t>
        </is>
      </c>
      <c r="D124" s="319">
        <f>D123-D122</f>
        <v/>
      </c>
    </row>
    <row r="125" ht="15" customHeight="1" s="188">
      <c r="A125" s="299" t="inlineStr">
        <is>
          <t>PRU initial (devise)</t>
        </is>
      </c>
      <c r="B125" s="320" t="n">
        <v>1467</v>
      </c>
      <c r="C125" s="299" t="inlineStr">
        <is>
          <t>Cumul gains déjà réalisés (journal) (€)</t>
        </is>
      </c>
      <c r="D125" s="308">
        <f>IF(E117="",0,E117)</f>
        <v/>
      </c>
    </row>
    <row r="126" ht="15" customHeight="1" s="188">
      <c r="A126" s="299" t="inlineStr">
        <is>
          <t>Taux €/$ à l'achat initial (si USD)</t>
        </is>
      </c>
      <c r="B126" s="304" t="n">
        <v>1.1385</v>
      </c>
      <c r="C126" s="229" t="inlineStr">
        <is>
          <t>PERFORMANCE TOTALE (€)</t>
        </is>
      </c>
      <c r="D126" s="325">
        <f>D124+D125</f>
        <v/>
      </c>
    </row>
    <row r="127" ht="15" customHeight="1" s="188">
      <c r="A127" s="299" t="inlineStr">
        <is>
          <t>Prix actuel du marché (devise)</t>
        </is>
      </c>
      <c r="B127" s="320" t="n">
        <v>1560</v>
      </c>
      <c r="C127" s="229" t="inlineStr">
        <is>
          <t>RENTABILITE GLOBALE (%)</t>
        </is>
      </c>
      <c r="D127" s="328">
        <f>IF(D122=0,"",D126/D122)</f>
        <v/>
      </c>
    </row>
    <row r="128" ht="15" customHeight="1" s="188">
      <c r="A128" s="299" t="inlineStr">
        <is>
          <t>Taux €/$ actuel (si USD)</t>
        </is>
      </c>
      <c r="B128" s="304" t="n">
        <v>1.154</v>
      </c>
      <c r="C128" s="305">
        <f>IF(OR($B$128&lt;0.8,$B$128&gt;1.3),"⚠ Taux inhabituel (attendu ~1,00-1,20)","")</f>
        <v/>
      </c>
    </row>
    <row r="130" ht="15" customHeight="1" s="188">
      <c r="A130" s="222" t="inlineStr">
        <is>
          <t>Rentabilité globale = (plus/moins-value latente actuelle + tous les gains déjà encaissés via le journal) ÷ capital investi au départ. C'est le seul chiffre qui répond vraiment à 'est-ce que je gagne de l'argent sur cette position, tout compris ?'</t>
        </is>
      </c>
    </row>
  </sheetData>
  <mergeCells count="25">
    <mergeCell ref="A99:F99"/>
    <mergeCell ref="A39:H39"/>
    <mergeCell ref="A59:H59"/>
    <mergeCell ref="A60:H60"/>
    <mergeCell ref="D22:E22"/>
    <mergeCell ref="A1:H1"/>
    <mergeCell ref="A121:D121"/>
    <mergeCell ref="A130:D130"/>
    <mergeCell ref="A3:H3"/>
    <mergeCell ref="A86:H86"/>
    <mergeCell ref="A88:D88"/>
    <mergeCell ref="A2:H2"/>
    <mergeCell ref="A5:B5"/>
    <mergeCell ref="D28:E28"/>
    <mergeCell ref="D4:E4"/>
    <mergeCell ref="D62:E62"/>
    <mergeCell ref="A22:B22"/>
    <mergeCell ref="A89:D89"/>
    <mergeCell ref="A98:F98"/>
    <mergeCell ref="A120:D120"/>
    <mergeCell ref="D82:E82"/>
    <mergeCell ref="A38:H38"/>
    <mergeCell ref="D67:E67"/>
    <mergeCell ref="D14:E14"/>
    <mergeCell ref="A95:D95"/>
  </mergeCells>
  <dataValidations count="1">
    <dataValidation sqref="B62 B123" showDropDown="0" showInputMessage="0" showErrorMessage="0" allowBlank="0" type="list" errorStyle="stop" operator="between">
      <formula1>"EUR,USD"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87"/>
  <sheetViews>
    <sheetView showFormulas="0" showGridLines="1" showRowColHeaders="1" showZeros="1" rightToLeft="0" tabSelected="1" showOutlineSymbols="1" defaultGridColor="1" view="normal" topLeftCell="A115" colorId="64" zoomScale="100" zoomScaleNormal="100" zoomScalePageLayoutView="100" workbookViewId="0">
      <selection pane="topLeft" activeCell="F138" activeCellId="0" sqref="F138"/>
    </sheetView>
  </sheetViews>
  <sheetFormatPr baseColWidth="8" defaultColWidth="8.71484375" defaultRowHeight="15" zeroHeight="0" outlineLevelRow="0"/>
  <cols>
    <col width="26" customWidth="1" style="187" min="1" max="1"/>
    <col width="14" customWidth="1" style="187" min="2" max="2"/>
    <col width="25" customWidth="1" style="187" min="3" max="3"/>
    <col width="56.15" customWidth="1" style="187" min="4" max="4"/>
    <col width="34.57" customWidth="1" style="187" min="5" max="5"/>
    <col width="25.85" customWidth="1" style="187" min="6" max="6"/>
    <col width="26" customWidth="1" style="187" min="7" max="7"/>
    <col width="14" customWidth="1" style="187" min="8" max="8"/>
    <col width="22" customWidth="1" style="188" min="9" max="9"/>
  </cols>
  <sheetData>
    <row r="1" ht="17.25" customHeight="1" s="188">
      <c r="A1" s="329" t="inlineStr">
        <is>
          <t>SUIVI TRADING - POSITIONS EN COURS</t>
        </is>
      </c>
    </row>
    <row r="2" ht="15" customHeight="1" s="188">
      <c r="A2" s="330" t="inlineStr">
        <is>
          <t>Cellules jaunes = à saisir. Le reste se calcule automatiquement. Reprend et corrige votre fichier d'origine (taux de vente absent, frais harmonisés).</t>
        </is>
      </c>
    </row>
    <row r="3" ht="15" customHeight="1" s="188">
      <c r="A3" s="331" t="inlineStr">
        <is>
          <t xml:space="preserve">  Bleu = latent (non réalisé)      Vert = réalisé (encaissé)      Orange = combiné (latent + réalisé)</t>
        </is>
      </c>
    </row>
    <row r="4" ht="15" customHeight="1" s="188">
      <c r="D4" s="332" t="inlineStr">
        <is>
          <t>RESULTATS SI VENTE AU PRIX VISE</t>
        </is>
      </c>
    </row>
    <row r="5" ht="15" customHeight="1" s="188">
      <c r="A5" s="332" t="inlineStr">
        <is>
          <t>POSITION 1 - TITRE COTÉ EN $</t>
        </is>
      </c>
      <c r="D5" s="333" t="inlineStr">
        <is>
          <t>PRU en € (info)</t>
        </is>
      </c>
      <c r="E5" s="334">
        <f>$B$7/(IF($B$9&lt;&gt;"",$B$7/$B$9,$B$8))</f>
        <v/>
      </c>
    </row>
    <row r="6" ht="15" customHeight="1" s="188">
      <c r="A6" s="333" t="inlineStr">
        <is>
          <t>Nombre d'actions</t>
        </is>
      </c>
      <c r="B6" s="301">
        <f>5.1798+8</f>
        <v/>
      </c>
      <c r="D6" s="333" t="inlineStr">
        <is>
          <t>Montant achat ($)</t>
        </is>
      </c>
      <c r="E6" s="335">
        <f>$B$6*$B$7</f>
        <v/>
      </c>
    </row>
    <row r="7" ht="15" customHeight="1" s="188">
      <c r="A7" s="333" t="inlineStr">
        <is>
          <t>Prix d'achat ($)</t>
        </is>
      </c>
      <c r="B7" s="303" t="n">
        <v>104.6</v>
      </c>
      <c r="D7" s="333" t="inlineStr">
        <is>
          <t>Montant vente ($)</t>
        </is>
      </c>
      <c r="E7" s="335">
        <f>$B$6*$B$11</f>
        <v/>
      </c>
    </row>
    <row r="8" ht="15" customHeight="1" s="188">
      <c r="A8" s="333" t="inlineStr">
        <is>
          <t>Taux €/$ à l'achat</t>
        </is>
      </c>
      <c r="B8" s="304" t="n">
        <v>1</v>
      </c>
      <c r="D8" s="333" t="inlineStr">
        <is>
          <t>Bénéfice brut ($)</t>
        </is>
      </c>
      <c r="E8" s="335">
        <f>E7-E6</f>
        <v/>
      </c>
      <c r="F8" s="336">
        <f>IF(OR($B$8&lt;0.8,$B$8&gt;1.3),"⚠ Taux inhabituel (attendu ~1,00-1,20)","")</f>
        <v/>
      </c>
    </row>
    <row r="9" ht="15" customHeight="1" s="188">
      <c r="A9" s="333" t="inlineStr">
        <is>
          <t>OU : PRU initial en € (optionnel)</t>
        </is>
      </c>
      <c r="B9" s="306" t="n"/>
      <c r="C9" s="330" t="inlineStr">
        <is>
          <t>Si vous connaissez votre PRU dans les 2 devises, remplissez cette case : le taux d'achat ci-dessus sera déduit automatiquement (PRU $ ÷ PRU €) et la case jaune du taux sera ignorée.</t>
        </is>
      </c>
      <c r="D9" s="333" t="inlineStr">
        <is>
          <t>Montant achat (€)</t>
        </is>
      </c>
      <c r="E9" s="334">
        <f>E6/(IF($B$9&lt;&gt;"",$B$7/$B$9,$B$8))</f>
        <v/>
      </c>
    </row>
    <row r="10" ht="15" customHeight="1" s="188">
      <c r="A10" s="333" t="inlineStr">
        <is>
          <t>→ Taux déduit (info)</t>
        </is>
      </c>
      <c r="B10" s="307">
        <f>IF($B$9&lt;&gt;"",$B$7/$B$9,"")</f>
        <v/>
      </c>
      <c r="D10" s="333" t="inlineStr">
        <is>
          <t>Montant vente (€)</t>
        </is>
      </c>
      <c r="E10" s="334">
        <f>E7/$B$12</f>
        <v/>
      </c>
    </row>
    <row r="11" ht="15" customHeight="1" s="188">
      <c r="A11" s="333" t="inlineStr">
        <is>
          <t>Prix de vente visé ($)</t>
        </is>
      </c>
      <c r="B11" s="303" t="n">
        <v>106.95</v>
      </c>
      <c r="D11" s="337" t="inlineStr">
        <is>
          <t>Bénéfice NET (€)</t>
        </is>
      </c>
      <c r="E11" s="338">
        <f>E10-E9-$B$14</f>
        <v/>
      </c>
    </row>
    <row r="12" ht="15" customHeight="1" s="188">
      <c r="A12" s="333" t="inlineStr">
        <is>
          <t>Taux €/$ à la vente</t>
        </is>
      </c>
      <c r="B12" s="304" t="n">
        <v>1</v>
      </c>
      <c r="C12" s="330" t="inlineStr">
        <is>
          <t>Absent de votre fichier d'origine (seul 'taux actuel' était renseigné) : je l'ai ajouté, repris à la même valeur par défaut.</t>
        </is>
      </c>
      <c r="D12" s="337" t="inlineStr">
        <is>
          <t>Rendement net (%)</t>
        </is>
      </c>
      <c r="E12" s="339">
        <f>IF(E9=0,"",E11/E9)</f>
        <v/>
      </c>
      <c r="F12" s="336">
        <f>IF(OR($B$12&lt;0.8,$B$12&gt;1.3),"⚠ Taux inhabituel (attendu ~1,00-1,20)","")</f>
        <v/>
      </c>
    </row>
    <row r="13" ht="15" customHeight="1" s="188">
      <c r="A13" s="333" t="inlineStr">
        <is>
          <t>Taux €/$ actuel</t>
        </is>
      </c>
      <c r="B13" s="304" t="n">
        <v>1</v>
      </c>
      <c r="F13" s="336">
        <f>IF(OR($B$13&lt;0.8,$B$13&gt;1.3),"⚠ Taux inhabituel (attendu ~1,00-1,20)","")</f>
        <v/>
      </c>
    </row>
    <row r="14" ht="15" customHeight="1" s="188">
      <c r="A14" s="333" t="inlineStr">
        <is>
          <t>Frais de transaction (€)</t>
        </is>
      </c>
      <c r="B14" s="306" t="n">
        <v>0</v>
      </c>
      <c r="D14" s="332" t="inlineStr">
        <is>
          <t>SI STOP LOSS DECLENCHE</t>
        </is>
      </c>
    </row>
    <row r="15" ht="15" customHeight="1" s="188">
      <c r="A15" s="333" t="inlineStr">
        <is>
          <t>Seuil Stop Loss (%)</t>
        </is>
      </c>
      <c r="B15" s="310" t="n">
        <v>0.01</v>
      </c>
      <c r="C15" s="330" t="inlineStr">
        <is>
          <t>1% repris de votre fichier (D10 = C5-C5*1%).</t>
        </is>
      </c>
      <c r="D15" s="333" t="inlineStr">
        <is>
          <t>Prix stop ($)</t>
        </is>
      </c>
      <c r="E15" s="335">
        <f>$B$7*(1-$B$15)</f>
        <v/>
      </c>
    </row>
    <row r="16" ht="15" customHeight="1" s="188">
      <c r="A16" s="333" t="inlineStr">
        <is>
          <t>Nombre de trades gagnants (sur le total ci-dessous)</t>
        </is>
      </c>
      <c r="B16" s="340" t="n">
        <v>4</v>
      </c>
      <c r="D16" s="333" t="inlineStr">
        <is>
          <t>Montant au stop ($)</t>
        </is>
      </c>
      <c r="E16" s="335">
        <f>$B$6*E15</f>
        <v/>
      </c>
    </row>
    <row r="17" ht="15" customHeight="1" s="188">
      <c r="A17" s="333" t="inlineStr">
        <is>
          <t>Nombre total de trades</t>
        </is>
      </c>
      <c r="B17" s="340" t="n">
        <v>10</v>
      </c>
      <c r="D17" s="333" t="inlineStr">
        <is>
          <t>Montant au stop (€)</t>
        </is>
      </c>
      <c r="E17" s="334">
        <f>E16/$B$13</f>
        <v/>
      </c>
    </row>
    <row r="18" ht="15" customHeight="1" s="188">
      <c r="A18" s="333" t="inlineStr">
        <is>
          <t>→ Taux de réussite (info)</t>
        </is>
      </c>
      <c r="B18" s="341">
        <f>$B$16/$B$17</f>
        <v/>
      </c>
      <c r="D18" s="337" t="inlineStr">
        <is>
          <t>Perte au stop (€)</t>
        </is>
      </c>
      <c r="E18" s="342">
        <f>E17-E9-$B$14</f>
        <v/>
      </c>
    </row>
    <row r="19" ht="15" customHeight="1" s="188">
      <c r="A19" s="333" t="inlineStr">
        <is>
          <t>→ Ratio minimum pour être gagnant à ce taux (info)</t>
        </is>
      </c>
      <c r="B19" s="343">
        <f>(1-$B$18)/$B$18</f>
        <v/>
      </c>
      <c r="C19" s="330" t="inlineStr">
        <is>
          <t>Formule : (1 - taux de réussite) / taux de réussite. En dessous de ce ratio, vous perdez de l'argent même avec ce taux de réussite.</t>
        </is>
      </c>
      <c r="D19" s="337" t="inlineStr">
        <is>
          <t>Perte au stop (%)</t>
        </is>
      </c>
      <c r="E19" s="344">
        <f>IF(E9=0,"",E18/E9)</f>
        <v/>
      </c>
    </row>
    <row r="20" ht="15" customHeight="1" s="188">
      <c r="A20" s="333" t="inlineStr">
        <is>
          <t>Marge de sécurité sur le ratio</t>
        </is>
      </c>
      <c r="B20" s="345" t="n">
        <v>1.5</v>
      </c>
      <c r="C20" s="330" t="inlineStr">
        <is>
          <t>1,2 = viser 20% de marge au-dessus du ratio minimum, pour absorber les frais et l'incertitude sur le vrai taux de réussite.</t>
        </is>
      </c>
      <c r="D20" s="333" t="inlineStr">
        <is>
          <t>→ Objectif de gain visé (€) = ratio × perte au stop</t>
        </is>
      </c>
      <c r="E20" s="346">
        <f>$B$21*(-E18)</f>
        <v/>
      </c>
    </row>
    <row r="21" ht="15" customHeight="1" s="188">
      <c r="A21" s="337" t="inlineStr">
        <is>
          <t>→ Ratio Gain/Perte visé (calculé)</t>
        </is>
      </c>
      <c r="B21" s="347">
        <f>$B$19*$B$20</f>
        <v/>
      </c>
      <c r="C21" s="330" t="inlineStr">
        <is>
          <t>Formule : Ratio minimum × marge de sécurité. Détermine le prix de vente cible ci-dessous. Ce n'est plus une valeur arbitraire : elle garantit que vous êtes gagnant même en ne réussissant que 4 trades sur 10 (ou le ratio saisi ci-dessus).</t>
        </is>
      </c>
    </row>
    <row r="22" ht="15" customHeight="1" s="188">
      <c r="A22" s="333" t="inlineStr">
        <is>
          <t>→ Prix de vente cible (ratio, en €) ($)</t>
        </is>
      </c>
      <c r="B22" s="348">
        <f>$B$12*(E20+E9+$B$14)/$B$6</f>
        <v/>
      </c>
      <c r="C22" s="330" t="inlineStr">
        <is>
          <t>Prix pour lequel le Bénéfice NET (€) = Objectif de gain visé (€), lui-même = ratio × |Perte au stop (€)|. Recopiez cette valeur dans 'Prix de vente visé' si vous voulez l'utiliser comme objectif.</t>
        </is>
      </c>
    </row>
    <row r="23" ht="15" customHeight="1" s="188">
      <c r="A23" s="333" t="inlineStr">
        <is>
          <t>Prix +5% (référence)</t>
        </is>
      </c>
      <c r="B23" s="335">
        <f>$B$7*1.05</f>
        <v/>
      </c>
      <c r="C23" s="330" t="inlineStr">
        <is>
          <t>Repris de votre cellule D6 - simple repère, n'alimente aucun calcul.</t>
        </is>
      </c>
    </row>
    <row r="25" ht="15" customHeight="1" s="188">
      <c r="A25" s="332" t="inlineStr">
        <is>
          <t>ESPERANCE DE GAIN - VERIFICATION (suis-je gagnant à ce taux de réussite ?)</t>
        </is>
      </c>
    </row>
    <row r="26" ht="15" customHeight="1" s="188">
      <c r="A26" s="330" t="inlineStr">
        <is>
          <t>Reprend automatiquement le taux de réussite, le ratio min et le ratio visé calculés dans la Position 1 ci-dessus. Rien à ressaisir ici - juste la vérification chiffrée du résultat.</t>
        </is>
      </c>
    </row>
    <row r="28" ht="15" customHeight="1" s="188">
      <c r="D28" s="332" t="inlineStr">
        <is>
          <t>RESULTATS</t>
        </is>
      </c>
    </row>
    <row r="29" ht="15" customHeight="1" s="188">
      <c r="D29" s="333" t="inlineStr">
        <is>
          <t>Taux de réussite (repris de Position 1)</t>
        </is>
      </c>
      <c r="E29" s="341">
        <f>$B$18</f>
        <v/>
      </c>
    </row>
    <row r="30" ht="15" customHeight="1" s="188">
      <c r="D30" s="333" t="inlineStr">
        <is>
          <t>Ratio minimum nécessaire pour être gagnant</t>
        </is>
      </c>
      <c r="E30" s="343">
        <f>$B$19</f>
        <v/>
      </c>
    </row>
    <row r="31" ht="15" customHeight="1" s="188">
      <c r="D31" s="333" t="inlineStr">
        <is>
          <t>Ratio visé (avec marge de sécurité)</t>
        </is>
      </c>
      <c r="E31" s="343">
        <f>$B$21</f>
        <v/>
      </c>
    </row>
    <row r="32" ht="15" customHeight="1" s="188">
      <c r="D32" s="337" t="inlineStr">
        <is>
          <t>Espérance par trade (en multiples de R)</t>
        </is>
      </c>
      <c r="E32" s="349">
        <f>E29*E31-(1-E29)*1</f>
        <v/>
      </c>
    </row>
    <row r="33" ht="15" customHeight="1" s="188">
      <c r="D33" s="337" t="inlineStr">
        <is>
          <t>Espérance par trade (€, 1R = perte au stop Position 1)</t>
        </is>
      </c>
      <c r="E33" s="350">
        <f>E32*(-E18)</f>
        <v/>
      </c>
    </row>
    <row r="34" ht="15" customHeight="1" s="188">
      <c r="D34" s="337" t="inlineStr">
        <is>
          <t>Espérance totale sur l'ensemble des trades (€)</t>
        </is>
      </c>
      <c r="E34" s="350">
        <f>E33*$B$17</f>
        <v/>
      </c>
    </row>
    <row r="35" ht="15" customHeight="1" s="188">
      <c r="D35" s="337" t="inlineStr">
        <is>
          <t>Verdict</t>
        </is>
      </c>
      <c r="E35" s="351">
        <f>IF(E31&gt;E30,"✓ Rentable à ce taux de réussite","✗ Pas assez rentable - marge de sécurité trop faible")</f>
        <v/>
      </c>
    </row>
    <row r="37" ht="15" customHeight="1" s="188">
      <c r="A37" s="330" t="inlineStr">
        <is>
          <t>"1R" = la perte au stop de la Position 1. Espérance positive = rentable sur la durée même en perdant plus souvent que vous ne gagnez, à condition de couper vos pertes au stop et de laisser courir les gains jusqu'au ratio visé.</t>
        </is>
      </c>
    </row>
    <row r="39" ht="15" customHeight="1" s="188">
      <c r="A39" s="332" t="inlineStr">
        <is>
          <t>POSITION 2 - TITRE COTÉ EN €</t>
        </is>
      </c>
      <c r="D39" s="332" t="inlineStr">
        <is>
          <t>RESULTATS SI VENTE AU PRIX VISE</t>
        </is>
      </c>
    </row>
    <row r="40" ht="15" customHeight="1" s="188">
      <c r="A40" s="333" t="inlineStr">
        <is>
          <t>Nombre d'actions</t>
        </is>
      </c>
      <c r="B40" s="345" t="n">
        <v>150</v>
      </c>
      <c r="D40" s="333" t="inlineStr">
        <is>
          <t>Montant investi, frais inclus (€)</t>
        </is>
      </c>
      <c r="E40" s="334">
        <f>$B$40*$B$41+$B$43</f>
        <v/>
      </c>
    </row>
    <row r="41" ht="15" customHeight="1" s="188">
      <c r="A41" s="333" t="inlineStr">
        <is>
          <t>Prix d'achat (€)</t>
        </is>
      </c>
      <c r="B41" s="352" t="n">
        <v>74.06999999999999</v>
      </c>
      <c r="D41" s="333" t="inlineStr">
        <is>
          <t>Montant vente (€)</t>
        </is>
      </c>
      <c r="E41" s="334">
        <f>$B$40*$B$42</f>
        <v/>
      </c>
    </row>
    <row r="42" ht="15" customHeight="1" s="188">
      <c r="A42" s="333" t="inlineStr">
        <is>
          <t>Prix de vente visé (€)</t>
        </is>
      </c>
      <c r="B42" s="352" t="n">
        <v>76.65000000000001</v>
      </c>
      <c r="D42" s="337" t="inlineStr">
        <is>
          <t>Bénéfice NET (€)</t>
        </is>
      </c>
      <c r="E42" s="338">
        <f>E41-E40</f>
        <v/>
      </c>
    </row>
    <row r="43" ht="15" customHeight="1" s="188">
      <c r="A43" s="333" t="inlineStr">
        <is>
          <t>Frais de transaction (€)</t>
        </is>
      </c>
      <c r="B43" s="352" t="n">
        <v>20</v>
      </c>
      <c r="D43" s="337" t="inlineStr">
        <is>
          <t>Rendement net (%)</t>
        </is>
      </c>
      <c r="E43" s="339">
        <f>IF(E40=0,"",E42/E40)</f>
        <v/>
      </c>
    </row>
    <row r="44" ht="15" customHeight="1" s="188">
      <c r="A44" s="333" t="inlineStr">
        <is>
          <t>Seuil Stop Loss (%)</t>
        </is>
      </c>
      <c r="B44" s="353" t="n">
        <v>0.01</v>
      </c>
      <c r="C44" s="330" t="inlineStr">
        <is>
          <t>1% repris de votre fichier (C17 = C15-C15*1%).</t>
        </is>
      </c>
    </row>
    <row r="45" ht="15" customHeight="1" s="188">
      <c r="A45" s="333" t="inlineStr">
        <is>
          <t>Nombre de trades gagnants (sur le total ci-dessous)</t>
        </is>
      </c>
      <c r="B45" s="354" t="n">
        <v>4</v>
      </c>
      <c r="D45" s="332" t="inlineStr">
        <is>
          <t>SI STOP LOSS DECLENCHE</t>
        </is>
      </c>
    </row>
    <row r="46" ht="15" customHeight="1" s="188">
      <c r="A46" s="333" t="inlineStr">
        <is>
          <t>Nombre total de trades</t>
        </is>
      </c>
      <c r="B46" s="354" t="n">
        <v>10</v>
      </c>
      <c r="D46" s="333" t="inlineStr">
        <is>
          <t>Prix stop (€)</t>
        </is>
      </c>
      <c r="E46" s="334">
        <f>$B$41*(1-$B$44)</f>
        <v/>
      </c>
    </row>
    <row r="47" ht="15" customHeight="1" s="188">
      <c r="A47" s="333" t="inlineStr">
        <is>
          <t>→ Taux de réussite (info)</t>
        </is>
      </c>
      <c r="B47" s="341">
        <f>$B$45/$B$46</f>
        <v/>
      </c>
      <c r="D47" s="333" t="inlineStr">
        <is>
          <t>Montant au stop (€)</t>
        </is>
      </c>
      <c r="E47" s="334">
        <f>$B$40*E46</f>
        <v/>
      </c>
    </row>
    <row r="48" ht="15" customHeight="1" s="188">
      <c r="A48" s="333" t="inlineStr">
        <is>
          <t>→ Ratio minimum pour être gagnant à ce taux (info)</t>
        </is>
      </c>
      <c r="B48" s="343">
        <f>(1-$B$47)/$B$47</f>
        <v/>
      </c>
      <c r="C48" s="330" t="inlineStr">
        <is>
          <t>Formule : (1 - taux de réussite) / taux de réussite.</t>
        </is>
      </c>
      <c r="D48" s="337" t="inlineStr">
        <is>
          <t>Perte au stop (€)</t>
        </is>
      </c>
      <c r="E48" s="342">
        <f>E47-E40</f>
        <v/>
      </c>
    </row>
    <row r="49" ht="15" customHeight="1" s="188">
      <c r="A49" s="333" t="inlineStr">
        <is>
          <t>Marge de sécurité sur le ratio</t>
        </is>
      </c>
      <c r="B49" s="345" t="n">
        <v>1.2</v>
      </c>
      <c r="C49" s="330" t="inlineStr">
        <is>
          <t>1,2 = viser 20% de marge au-dessus du ratio minimum.</t>
        </is>
      </c>
      <c r="D49" s="337" t="inlineStr">
        <is>
          <t>Perte au stop (%)</t>
        </is>
      </c>
      <c r="E49" s="344">
        <f>IF(E40=0,"",E48/E40)</f>
        <v/>
      </c>
    </row>
    <row r="50" ht="15" customHeight="1" s="188">
      <c r="A50" s="337" t="inlineStr">
        <is>
          <t>→ Ratio Gain/Perte visé (calculé)</t>
        </is>
      </c>
      <c r="B50" s="347">
        <f>$B$48*$B$49</f>
        <v/>
      </c>
      <c r="C50" s="330" t="inlineStr">
        <is>
          <t>Formule : Ratio minimum × marge de sécurité. Détermine le prix de vente cible ci-dessous.</t>
        </is>
      </c>
      <c r="D50" s="333" t="inlineStr">
        <is>
          <t>→ Objectif de gain visé (€) = ratio × perte au stop</t>
        </is>
      </c>
      <c r="E50" s="350">
        <f>$B$50*(-E48)</f>
        <v/>
      </c>
    </row>
    <row r="51" ht="15" customHeight="1" s="188">
      <c r="A51" s="333" t="inlineStr">
        <is>
          <t>→ Prix de vente cible (ratio) (€)</t>
        </is>
      </c>
      <c r="B51" s="346">
        <f>(E50+E40)/$B$40</f>
        <v/>
      </c>
      <c r="C51" s="330" t="inlineStr">
        <is>
          <t>Prix pour lequel le Bénéfice NET (€) = ratio × |Perte au stop (€)|. Recopiez cette valeur dans 'Prix de vente visé' ci-dessus si vous voulez l'utiliser comme objectif.</t>
        </is>
      </c>
    </row>
    <row r="52" ht="15" customHeight="1" s="188">
      <c r="D52" s="332" t="inlineStr">
        <is>
          <t>ESPERANCE DE GAIN (vérification)</t>
        </is>
      </c>
    </row>
    <row r="53" ht="15" customHeight="1" s="188">
      <c r="D53" s="337" t="inlineStr">
        <is>
          <t>Espérance par trade (en multiples de R)</t>
        </is>
      </c>
      <c r="E53" s="349">
        <f>$B$47*$B$50-(1-$B$47)*1</f>
        <v/>
      </c>
    </row>
    <row r="54" ht="15" customHeight="1" s="188">
      <c r="D54" s="337" t="inlineStr">
        <is>
          <t>Espérance par trade (€)</t>
        </is>
      </c>
      <c r="E54" s="350">
        <f>E53*(-E48)</f>
        <v/>
      </c>
    </row>
    <row r="55" ht="15" customHeight="1" s="188">
      <c r="D55" s="337" t="inlineStr">
        <is>
          <t>Espérance totale sur l'ensemble des trades (€)</t>
        </is>
      </c>
      <c r="E55" s="350">
        <f>E54*$B$46</f>
        <v/>
      </c>
    </row>
    <row r="56" ht="15" customHeight="1" s="188">
      <c r="D56" s="337" t="inlineStr">
        <is>
          <t>Verdict</t>
        </is>
      </c>
      <c r="E56" s="351">
        <f>IF($B$50&gt;$B$48,"✓ Rentable à ce taux de réussite","✗ Pas assez rentable")</f>
        <v/>
      </c>
    </row>
    <row r="59" ht="15" customHeight="1" s="188">
      <c r="A59" s="332" t="inlineStr">
        <is>
          <t>SUIVI DES ALLERS-RETOURS (mouvements de trésorerie)</t>
        </is>
      </c>
    </row>
    <row r="60" ht="15" customHeight="1" s="188">
      <c r="A60" s="330" t="inlineStr">
        <is>
          <t>Reprend votre tableau 'suivi AR' : chaque ligne est un mouvement (+/-), le solde se cumule automatiquement.</t>
        </is>
      </c>
    </row>
    <row r="62" ht="115.5" customHeight="1" s="188">
      <c r="A62" s="315" t="inlineStr">
        <is>
          <t>Libellé / Titre</t>
        </is>
      </c>
      <c r="B62" s="315" t="inlineStr">
        <is>
          <t>Mouvement (€)</t>
        </is>
      </c>
      <c r="C62" s="315" t="inlineStr">
        <is>
          <t>Solde cumulé (€)</t>
        </is>
      </c>
      <c r="E62" s="315" t="inlineStr">
        <is>
          <t>Libellé / Titre</t>
        </is>
      </c>
      <c r="F62" s="315" t="inlineStr">
        <is>
          <t>Mouvement (€)</t>
        </is>
      </c>
      <c r="G62" s="315" t="inlineStr">
        <is>
          <t>Solde cumulé (€)</t>
        </is>
      </c>
    </row>
    <row r="63" ht="15" customHeight="1" s="188">
      <c r="A63" s="316" t="inlineStr">
        <is>
          <t>Solde initial</t>
        </is>
      </c>
      <c r="B63" s="306" t="n">
        <v>864</v>
      </c>
      <c r="C63" s="308">
        <f>B63</f>
        <v/>
      </c>
      <c r="E63" s="316" t="inlineStr">
        <is>
          <t>Amazon</t>
        </is>
      </c>
      <c r="F63" s="303" t="n">
        <v>-38.38</v>
      </c>
      <c r="G63" s="324">
        <f>F63</f>
        <v/>
      </c>
    </row>
    <row r="64" ht="15" customHeight="1" s="188">
      <c r="A64" s="316" t="inlineStr">
        <is>
          <t>Intuit</t>
        </is>
      </c>
      <c r="B64" s="306" t="n">
        <v>-1380</v>
      </c>
      <c r="C64" s="308">
        <f>C63+B64</f>
        <v/>
      </c>
      <c r="E64" s="316" t="inlineStr">
        <is>
          <t>Moderna</t>
        </is>
      </c>
      <c r="F64" s="303" t="n">
        <v>23.3</v>
      </c>
      <c r="G64" s="324">
        <f>G63+F64</f>
        <v/>
      </c>
    </row>
    <row r="65" ht="15" customHeight="1" s="188">
      <c r="A65" s="316" t="inlineStr">
        <is>
          <t>Space Mobile</t>
        </is>
      </c>
      <c r="B65" s="306" t="n">
        <v>-121</v>
      </c>
      <c r="C65" s="308">
        <f>C64+B65</f>
        <v/>
      </c>
      <c r="E65" s="316" t="inlineStr">
        <is>
          <t>Applied Materials</t>
        </is>
      </c>
      <c r="F65" s="303" t="n">
        <v>2.48</v>
      </c>
      <c r="G65" s="324">
        <f>G64+F65</f>
        <v/>
      </c>
    </row>
    <row r="66" ht="15" customHeight="1" s="188">
      <c r="A66" s="316" t="inlineStr">
        <is>
          <t>Sandisk</t>
        </is>
      </c>
      <c r="B66" s="306" t="n">
        <v>1200</v>
      </c>
      <c r="C66" s="308">
        <f>C65+B66</f>
        <v/>
      </c>
      <c r="E66" s="316" t="inlineStr">
        <is>
          <t>Applied Materials</t>
        </is>
      </c>
      <c r="F66" s="303" t="n">
        <v>18</v>
      </c>
      <c r="G66" s="324">
        <f>G65+F66</f>
        <v/>
      </c>
    </row>
    <row r="67" ht="15" customHeight="1" s="188">
      <c r="A67" s="316" t="inlineStr">
        <is>
          <t>SpaceX</t>
        </is>
      </c>
      <c r="B67" s="306" t="n">
        <v>106</v>
      </c>
      <c r="C67" s="308">
        <f>C66+B67</f>
        <v/>
      </c>
      <c r="E67" s="316" t="inlineStr">
        <is>
          <t>Applied Materials</t>
        </is>
      </c>
      <c r="F67" s="303" t="n">
        <v>15.6</v>
      </c>
      <c r="G67" s="324">
        <f>G66+F67</f>
        <v/>
      </c>
    </row>
    <row r="68" ht="15" customHeight="1" s="188">
      <c r="A68" s="316" t="inlineStr">
        <is>
          <t>Sandisk</t>
        </is>
      </c>
      <c r="B68" s="306" t="n">
        <v>-1220</v>
      </c>
      <c r="C68" s="308">
        <f>C67+B68</f>
        <v/>
      </c>
      <c r="E68" s="316" t="inlineStr">
        <is>
          <t>Applied Materials</t>
        </is>
      </c>
      <c r="F68" s="303" t="n">
        <v>24.1</v>
      </c>
      <c r="G68" s="324">
        <f>G67+F68</f>
        <v/>
      </c>
    </row>
    <row r="69" ht="15" customHeight="1" s="188">
      <c r="A69" s="316" t="inlineStr">
        <is>
          <t>Applied Materials</t>
        </is>
      </c>
      <c r="B69" s="316" t="n">
        <v>550</v>
      </c>
      <c r="C69" s="308">
        <f>IF(B69="","",C68+B69)</f>
        <v/>
      </c>
      <c r="E69" s="316" t="inlineStr">
        <is>
          <t>Walmart</t>
        </is>
      </c>
      <c r="F69" s="303" t="n">
        <v>5.38</v>
      </c>
      <c r="G69" s="324">
        <f>IF(F69="","",G68+F69)</f>
        <v/>
      </c>
    </row>
    <row r="70" ht="15" customHeight="1" s="188">
      <c r="A70" s="316" t="n"/>
      <c r="B70" s="316" t="n"/>
      <c r="C70" s="308">
        <f>IF(B70="","",C69+B70)</f>
        <v/>
      </c>
      <c r="E70" s="316" t="inlineStr">
        <is>
          <t>Applied Materials</t>
        </is>
      </c>
      <c r="F70" s="316" t="n">
        <v>107.1</v>
      </c>
      <c r="G70" s="324">
        <f>IF(F70="","",G69+F70)</f>
        <v/>
      </c>
    </row>
    <row r="71" ht="15" customHeight="1" s="188">
      <c r="A71" s="316" t="n"/>
      <c r="B71" s="316" t="n"/>
      <c r="C71" s="308">
        <f>IF(B71="","",C70+B71)</f>
        <v/>
      </c>
      <c r="E71" s="316" t="n"/>
      <c r="F71" s="316" t="n"/>
      <c r="G71" s="324">
        <f>IF(F71="","",G70+F71)</f>
        <v/>
      </c>
    </row>
    <row r="72" ht="15" customHeight="1" s="188">
      <c r="A72" s="316" t="n"/>
      <c r="B72" s="316" t="n"/>
      <c r="C72" s="308">
        <f>IF(B72="","",C71+B72)</f>
        <v/>
      </c>
      <c r="E72" s="316" t="n"/>
      <c r="F72" s="316" t="n"/>
      <c r="G72" s="324">
        <f>IF(F72="","",G71+F72)</f>
        <v/>
      </c>
    </row>
    <row r="73" ht="15" customHeight="1" s="188">
      <c r="A73" s="316" t="n"/>
      <c r="B73" s="316" t="n"/>
      <c r="C73" s="308">
        <f>IF(B73="","",C72+B73)</f>
        <v/>
      </c>
      <c r="E73" s="316" t="n"/>
      <c r="F73" s="316" t="n"/>
      <c r="G73" s="324">
        <f>IF(F73="","",G72+F73)</f>
        <v/>
      </c>
    </row>
    <row r="74" ht="15" customHeight="1" s="188">
      <c r="A74" s="316" t="n"/>
      <c r="B74" s="316" t="n"/>
      <c r="C74" s="308">
        <f>IF(B74="","",C73+B74)</f>
        <v/>
      </c>
      <c r="E74" s="316" t="n"/>
      <c r="F74" s="316" t="n"/>
      <c r="G74" s="324">
        <f>IF(F74="","",G73+F74)</f>
        <v/>
      </c>
    </row>
    <row r="75" ht="15" customHeight="1" s="188">
      <c r="A75" s="316" t="n"/>
      <c r="B75" s="316" t="n"/>
      <c r="C75" s="308">
        <f>IF(B75="","",C74+B75)</f>
        <v/>
      </c>
      <c r="E75" s="316" t="n"/>
      <c r="F75" s="316" t="n"/>
      <c r="G75" s="324">
        <f>IF(F75="","",G74+F75)</f>
        <v/>
      </c>
    </row>
    <row r="76" ht="15" customHeight="1" s="188">
      <c r="A76" s="316" t="n"/>
      <c r="B76" s="316" t="n"/>
      <c r="C76" s="308">
        <f>IF(B76="","",C75+B76)</f>
        <v/>
      </c>
      <c r="E76" s="316" t="n"/>
      <c r="F76" s="316" t="n"/>
      <c r="G76" s="324">
        <f>IF(F76="","",G75+F76)</f>
        <v/>
      </c>
    </row>
    <row r="77" ht="15" customHeight="1" s="188">
      <c r="A77" s="316" t="n"/>
      <c r="B77" s="316" t="n"/>
      <c r="C77" s="308">
        <f>IF(B77="","",C76+B77)</f>
        <v/>
      </c>
      <c r="E77" s="316" t="n"/>
      <c r="F77" s="316" t="n"/>
      <c r="G77" s="324">
        <f>IF(F77="","",G76+F77)</f>
        <v/>
      </c>
    </row>
    <row r="78" ht="15" customHeight="1" s="188">
      <c r="A78" s="316" t="n"/>
      <c r="B78" s="316" t="n"/>
      <c r="C78" s="308">
        <f>IF(B78="","",C77+B78)</f>
        <v/>
      </c>
      <c r="E78" s="316" t="n"/>
      <c r="F78" s="316" t="n"/>
      <c r="G78" s="324">
        <f>IF(F78="","",G77+F78)</f>
        <v/>
      </c>
    </row>
    <row r="80" ht="15" customHeight="1" s="188">
      <c r="A80" s="332" t="inlineStr">
        <is>
          <t>SIMULATEUR ACHAT / VENTE PARTIELLE / RACHAT</t>
        </is>
      </c>
    </row>
    <row r="81" ht="15" customHeight="1" s="188">
      <c r="A81" s="330" t="inlineStr">
        <is>
          <t>Exemple générique du principe (n'est plus reflété dans les cases ci-dessous, qui contiennent vos vraies données de trading) : j'achète 10 actions à 100, j'en revends 5 à 70, puis je rachète 5 à 50. Modifiez les cellules jaunes pour votre propre scénario.</t>
        </is>
      </c>
    </row>
    <row r="83" ht="15" customHeight="1" s="188">
      <c r="A83" s="333" t="inlineStr">
        <is>
          <t>Devise</t>
        </is>
      </c>
      <c r="B83" s="355" t="inlineStr">
        <is>
          <t>USD</t>
        </is>
      </c>
      <c r="C83" s="330" t="inlineStr">
        <is>
          <t>USD = conversion €/$ à chaque étape (taux ci-dessous). EUR = pas de conversion, taux ignorés.</t>
        </is>
      </c>
      <c r="D83" s="332" t="inlineStr">
        <is>
          <t>SCENARIO A - NE RIEN FAIRE (garder la position initiale)</t>
        </is>
      </c>
    </row>
    <row r="84" ht="15" customHeight="1" s="188">
      <c r="D84" s="333" t="inlineStr">
        <is>
          <t>Montant investi initial (€)</t>
        </is>
      </c>
      <c r="E84" s="334">
        <f>($B$86*$B$87+$B$91)/(IF($B$83="EUR",1,IF($B$89&lt;&gt;"",$B$87/$B$89,$B$88)))</f>
        <v/>
      </c>
    </row>
    <row r="85" ht="15" customHeight="1" s="188">
      <c r="A85" s="337" t="inlineStr">
        <is>
          <t>— ACHAT INITIAL —</t>
        </is>
      </c>
      <c r="D85" s="333" t="inlineStr">
        <is>
          <t>Valeur actuelle de la position (€)</t>
        </is>
      </c>
      <c r="E85" s="334">
        <f>($B$86*$B$105)/(IF($B$83="EUR",1,$B$106))</f>
        <v/>
      </c>
    </row>
    <row r="86" ht="15" customHeight="1" s="188">
      <c r="A86" s="333" t="inlineStr">
        <is>
          <t>Quantité achetée</t>
        </is>
      </c>
      <c r="B86" s="356" t="n">
        <v>210</v>
      </c>
      <c r="D86" s="337" t="inlineStr">
        <is>
          <t>PV/MV latente (€)</t>
        </is>
      </c>
      <c r="E86" s="357">
        <f>E85-E84</f>
        <v/>
      </c>
    </row>
    <row r="87" ht="15" customHeight="1" s="188">
      <c r="A87" s="333" t="inlineStr">
        <is>
          <t>Prix d'achat / PRU initial (devise)</t>
        </is>
      </c>
      <c r="B87" s="358" t="n">
        <v>67.64</v>
      </c>
      <c r="C87" s="330" t="inlineStr">
        <is>
          <t>Si vous détenez déjà la position depuis plusieurs achats, mettez ici votre PRU réel (coût moyen), pas le prix d'un seul ordre.</t>
        </is>
      </c>
    </row>
    <row r="88" ht="15" customHeight="1" s="188">
      <c r="A88" s="333" t="inlineStr">
        <is>
          <t>Taux €/$ à l'achat (si USD)</t>
        </is>
      </c>
      <c r="B88" s="359" t="n">
        <v>1</v>
      </c>
      <c r="C88" s="336">
        <f>IF(OR($B$88&lt;0.8,$B$88&gt;1.3),"⚠ Taux inhabituel (attendu ~1,00-1,20)","")</f>
        <v/>
      </c>
      <c r="D88" s="332" t="inlineStr">
        <is>
          <t>SCENARIO B - VENTE PARTIELLE + RACHAT</t>
        </is>
      </c>
    </row>
    <row r="89" ht="15" customHeight="1" s="188">
      <c r="A89" s="333" t="inlineStr">
        <is>
          <t>OU : PRU initial en € (optionnel)</t>
        </is>
      </c>
      <c r="B89" s="352" t="n"/>
      <c r="C89" s="330" t="inlineStr">
        <is>
          <t>Si vous connaissez votre PRU dans les 2 devises (ex. relevé de courtier), remplissez cette case : le taux d'achat ci-dessus sera déduit automatiquement (PRU $ ÷ PRU €) et la case jaune au-dessus sera ignorée.</t>
        </is>
      </c>
      <c r="D89" s="333" t="inlineStr">
        <is>
          <t>PRU initial (€/action)</t>
        </is>
      </c>
      <c r="E89" s="334">
        <f>($B$86*$B$87+$B$91)/(IF($B$83="EUR",1,IF($B$89&lt;&gt;"",$B$87/$B$89,$B$88)))/$B$86</f>
        <v/>
      </c>
    </row>
    <row r="90" ht="15" customHeight="1" s="188">
      <c r="A90" s="333" t="inlineStr">
        <is>
          <t>→ Taux déduit (info)</t>
        </is>
      </c>
      <c r="B90" s="360">
        <f>IF($B$89&lt;&gt;"",$B$87/$B$89,"")</f>
        <v/>
      </c>
      <c r="D90" s="333" t="inlineStr">
        <is>
          <t>Montant encaissé à la vente (€)</t>
        </is>
      </c>
      <c r="E90" s="334">
        <f>($B$94*$B$95-$B$97)/(IF($B$83="EUR",1,$B$96))</f>
        <v/>
      </c>
    </row>
    <row r="91" ht="15" customHeight="1" s="188">
      <c r="A91" s="333" t="inlineStr">
        <is>
          <t>Frais d'achat (€)</t>
        </is>
      </c>
      <c r="B91" s="352" t="n">
        <v>0</v>
      </c>
      <c r="D91" s="333" t="inlineStr">
        <is>
          <t>Coût alloué à la partie vendue (€)</t>
        </is>
      </c>
      <c r="E91" s="334">
        <f>$B$94*E89</f>
        <v/>
      </c>
    </row>
    <row r="92" ht="15" customHeight="1" s="188">
      <c r="D92" s="337" t="inlineStr">
        <is>
          <t>Profit/perte REALISE sur la vente (€)</t>
        </is>
      </c>
      <c r="E92" s="338">
        <f>E90-E91</f>
        <v/>
      </c>
    </row>
    <row r="93" ht="15" customHeight="1" s="188">
      <c r="A93" s="337" t="inlineStr">
        <is>
          <t>— VENTE PARTIELLE —</t>
        </is>
      </c>
      <c r="D93" s="333" t="inlineStr">
        <is>
          <t>Quantité restante après vente</t>
        </is>
      </c>
      <c r="E93" s="361">
        <f>$B$86-$B$94</f>
        <v/>
      </c>
    </row>
    <row r="94" ht="15" customHeight="1" s="188">
      <c r="A94" s="333" t="inlineStr">
        <is>
          <t>Quantité vendue</t>
        </is>
      </c>
      <c r="B94" s="356" t="n">
        <v>100</v>
      </c>
      <c r="D94" s="333" t="inlineStr">
        <is>
          <t>Montant du rachat (€)</t>
        </is>
      </c>
      <c r="E94" s="334">
        <f>($B$100*$B$101+$B$103)/(IF($B$83="EUR",1,$B$102))</f>
        <v/>
      </c>
    </row>
    <row r="95" ht="15" customHeight="1" s="188">
      <c r="A95" s="333" t="inlineStr">
        <is>
          <t>Prix de vente (devise)</t>
        </is>
      </c>
      <c r="B95" s="358" t="n">
        <v>63.13</v>
      </c>
      <c r="D95" s="333" t="inlineStr">
        <is>
          <t>→ Quantité rachetable avec le produit de la vente (info)</t>
        </is>
      </c>
      <c r="E95" s="347">
        <f>IF($B$101=0,"",(E90-$B$103)/($B$101/(IF($B$83="EUR",1,$B$102))))</f>
        <v/>
      </c>
      <c r="F95" s="330" t="inlineStr">
        <is>
          <t>Combien d'actions le montant encaissé à la vente permet de racheter au prix de rachat saisi, frais déduits. A titre indicatif - reportez cette valeur dans 'Quantité rachetée' si vous voulez réinvestir exactement le produit de la vente.</t>
        </is>
      </c>
    </row>
    <row r="96" ht="15" customHeight="1" s="188">
      <c r="A96" s="333" t="inlineStr">
        <is>
          <t>Taux €/$ à la vente (si USD)</t>
        </is>
      </c>
      <c r="B96" s="359" t="n">
        <v>1</v>
      </c>
      <c r="C96" s="336">
        <f>IF(OR($B$96&lt;0.8,$B$96&gt;1.3),"⚠ Taux inhabituel (attendu ~1,00-1,20)","")</f>
        <v/>
      </c>
      <c r="D96" s="337" t="inlineStr">
        <is>
          <t>Nouvelle quantité totale</t>
        </is>
      </c>
      <c r="E96" s="362">
        <f>E93+$B$100</f>
        <v/>
      </c>
    </row>
    <row r="97" ht="15" customHeight="1" s="188">
      <c r="A97" s="333" t="inlineStr">
        <is>
          <t>Frais de vente (€)</t>
        </is>
      </c>
      <c r="B97" s="352" t="n">
        <v>0</v>
      </c>
      <c r="D97" s="337" t="inlineStr">
        <is>
          <t>NOUVEAU PRU (€/action)</t>
        </is>
      </c>
      <c r="E97" s="338">
        <f>IF(E96=0,"",(E93*E89+E94)/E96)</f>
        <v/>
      </c>
    </row>
    <row r="98" ht="15" customHeight="1" s="188">
      <c r="C98" s="330" t="inlineStr">
        <is>
          <t>Reconverti au taux actuel (taux d'achat/vente/rachat différents dans le temps, donc pas de conversion unique possible).</t>
        </is>
      </c>
      <c r="D98" s="337" t="inlineStr">
        <is>
          <t>NOUVEAU PRU ($, au taux actuel)</t>
        </is>
      </c>
      <c r="E98" s="363">
        <f>IF(OR(E97="",$B$83="EUR"),"",E97*(IF($B$83="EUR",1,$B$106)))</f>
        <v/>
      </c>
    </row>
    <row r="99" ht="15" customHeight="1" s="188">
      <c r="A99" s="337" t="inlineStr">
        <is>
          <t>— RACHAT —</t>
        </is>
      </c>
      <c r="D99" s="333" t="inlineStr">
        <is>
          <t>Nouveau montant investi total (€)</t>
        </is>
      </c>
      <c r="E99" s="334">
        <f>E93*E89+E94</f>
        <v/>
      </c>
    </row>
    <row r="100" ht="15" customHeight="1" s="188">
      <c r="A100" s="333" t="inlineStr">
        <is>
          <t>Quantité rachetée</t>
        </is>
      </c>
      <c r="B100" s="356" t="n">
        <v>100</v>
      </c>
      <c r="D100" s="333" t="inlineStr">
        <is>
          <t>Valeur actuelle nouvelle position (€)</t>
        </is>
      </c>
      <c r="E100" s="334">
        <f>E96*$B$105/(IF($B$83="EUR",1,$B$106))</f>
        <v/>
      </c>
    </row>
    <row r="101" ht="15" customHeight="1" s="188">
      <c r="A101" s="333" t="inlineStr">
        <is>
          <t>Prix de rachat (devise)</t>
        </is>
      </c>
      <c r="B101" s="358" t="n">
        <v>57.9</v>
      </c>
      <c r="D101" s="333" t="inlineStr">
        <is>
          <t>PV/MV latente nouvelle position (€)</t>
        </is>
      </c>
      <c r="E101" s="357">
        <f>E100-E99</f>
        <v/>
      </c>
    </row>
    <row r="102" ht="15" customHeight="1" s="188">
      <c r="A102" s="333" t="inlineStr">
        <is>
          <t>Taux €/$ au rachat (si USD)</t>
        </is>
      </c>
      <c r="B102" s="359" t="n">
        <v>1</v>
      </c>
      <c r="C102" s="336">
        <f>IF(OR($B$102&lt;0.8,$B$102&gt;1.3),"⚠ Taux inhabituel (attendu ~1,00-1,20)","")</f>
        <v/>
      </c>
      <c r="D102" s="333" t="inlineStr">
        <is>
          <t>→ Vrai point de rentabilité (€/action, réalisé inclus)</t>
        </is>
      </c>
      <c r="E102" s="350">
        <f>(E99-E92)/E96</f>
        <v/>
      </c>
      <c r="F102" s="364">
        <f>IF($B$83="EUR","",E102*$B$106)</f>
        <v/>
      </c>
    </row>
    <row r="103" ht="15" customHeight="1" s="188">
      <c r="A103" s="333" t="inlineStr">
        <is>
          <t>Frais de rachat (€)</t>
        </is>
      </c>
      <c r="B103" s="352" t="n">
        <v>0</v>
      </c>
      <c r="D103" s="332" t="inlineStr">
        <is>
          <t>BILAN DE LA STRATEGIE</t>
        </is>
      </c>
    </row>
    <row r="104" ht="15" customHeight="1" s="188">
      <c r="D104" s="337" t="inlineStr">
        <is>
          <t>Performance totale Scénario B (€)</t>
        </is>
      </c>
      <c r="E104" s="350">
        <f>E92+E101</f>
        <v/>
      </c>
    </row>
    <row r="105" ht="15" customHeight="1" s="188">
      <c r="A105" s="333" t="inlineStr">
        <is>
          <t>Prix actuel du marché (devise)</t>
        </is>
      </c>
      <c r="B105" s="358" t="n">
        <v>59</v>
      </c>
      <c r="D105" s="337" t="inlineStr">
        <is>
          <t>Gain (+) / Perte (-) vs Scénario A (€)</t>
        </is>
      </c>
      <c r="E105" s="350">
        <f>E104-E86</f>
        <v/>
      </c>
    </row>
    <row r="106" ht="15" customHeight="1" s="188">
      <c r="A106" s="333" t="inlineStr">
        <is>
          <t>Taux €/$ actuel (si USD)</t>
        </is>
      </c>
      <c r="B106" s="359" t="n">
        <v>1</v>
      </c>
      <c r="C106" s="330" t="inlineStr">
        <is>
          <t>Sert à valoriser la position finale et comparer avec le scénario 'ne rien faire'.</t>
        </is>
      </c>
    </row>
    <row r="107" ht="15" customHeight="1" s="188">
      <c r="A107" s="330" t="inlineStr">
        <is>
          <t>La devise s'applique à l'ensemble du scénario (achat, vente, rachat = soit tout en €, soit tout en $ ; pas de mélange). En USD, chaque étape a son propre taux €/$ car le cours évolue dans le temps. Exemple par défaut : achat 10@100$, vente 5@70$, rachat 5@50$.</t>
        </is>
      </c>
    </row>
    <row r="108" ht="15" customHeight="1" s="188">
      <c r="A108" s="330" t="inlineStr">
        <is>
          <t>Différence avec 'Nouveau PRU' : le Nouveau PRU (E97) ne reflète que le coût moyen de ce qu'il vous reste, sans tenir compte du gain/perte déjà réalisé sur la vente. Le 'Vrai point de rentabilité' (E102) corrige cet écart : c'est le prix pour lequel votre performance totale (réalisé + latent) = 0. Si la vente était une perte, ce prix est plus haut que le Nouveau PRU (il faut plus pour compenser) ; si c'était un gain, il est plus bas.</t>
        </is>
      </c>
    </row>
    <row r="109" ht="15" customHeight="1" s="188">
      <c r="A109" s="332" t="inlineStr">
        <is>
          <t>QUELLE QUANTITE VENDRE/RACHETER POUR VISER UN GAIN DONNE ?</t>
        </is>
      </c>
    </row>
    <row r="110" ht="15" customHeight="1" s="188">
      <c r="A110" s="330" t="inlineStr">
        <is>
          <t>Reprend le prix de vente et le prix de rachat saisis ci-dessus (et leurs taux/frais). Calcule la quantité (vendue = rachetée) nécessaire pour atteindre le gain visé vs Scénario A, indépendamment de la quantité déjà saisie plus haut.</t>
        </is>
      </c>
    </row>
    <row r="112" ht="15" customHeight="1" s="188">
      <c r="A112" s="333" t="inlineStr">
        <is>
          <t>Gain visé (€)</t>
        </is>
      </c>
      <c r="B112" s="352" t="n">
        <v>200</v>
      </c>
    </row>
    <row r="113" ht="15" customHeight="1" s="188">
      <c r="A113" s="337" t="inlineStr">
        <is>
          <t>Quantité nécessaire (exacte)</t>
        </is>
      </c>
      <c r="B113" s="365">
        <f>IF(($B$95/(IF($B$83="EUR",1,$B$96))-$B$101/(IF($B$83="EUR",1,$B$102)))&lt;=0,"Impossible : le rachat n'est pas moins cher que la vente à ces prix",($B$112+($B$97/(IF($B$83="EUR",1,$B$96))+$B$103/(IF($B$83="EUR",1,$B$102))))/(($B$95/(IF($B$83="EUR",1,$B$96))-$B$101/(IF($B$83="EUR",1,$B$102)))))</f>
        <v/>
      </c>
    </row>
    <row r="114" ht="15" customHeight="1" s="188">
      <c r="A114" s="337" t="inlineStr">
        <is>
          <t>Quantité arrondie (au 0,1 supérieur)</t>
        </is>
      </c>
      <c r="B114" s="362">
        <f>IF(ISNUMBER(B113),ROUNDUP(B113,1),"")</f>
        <v/>
      </c>
    </row>
    <row r="115" ht="15" customHeight="1" s="188">
      <c r="A115" s="337" t="inlineStr">
        <is>
          <t>Gain réel obtenu avec cette quantité (€)</t>
        </is>
      </c>
      <c r="B115" s="338">
        <f>IF(B114="","",(B114*$B$95-$B$97)/(IF($B$83="EUR",1,$B$96))-(B114*$B$101+$B$103)/(IF($B$83="EUR",1,$B$102)))</f>
        <v/>
      </c>
    </row>
    <row r="116" ht="15" customHeight="1" s="188">
      <c r="A116" s="330" t="inlineStr">
        <is>
          <t>La quantité est arrondie au dixième supérieur car on ne peut pas vendre/racheter moins que la quantité exacte requise (sinon le gain visé ne serait pas atteint). Vérifiez que cette quantité ne dépasse pas votre position totale détenue.</t>
        </is>
      </c>
    </row>
    <row r="119" ht="15" customHeight="1" s="188">
      <c r="A119" s="332" t="inlineStr">
        <is>
          <t>JOURNAL DES ALLERS-RETOURS - PERFORMANCE CUMULEE</t>
        </is>
      </c>
    </row>
    <row r="120" ht="15" customHeight="1" s="188">
      <c r="A120" s="330" t="inlineStr">
        <is>
          <t>A chaque round vente+rachat, reportez ici le prix de vente, le prix de rachat et le résultat du bloc 4 ('Gain (+) / Perte (-) vs Scénario A'). Le cumul vous dit si la méthode vous rapporte vraiment quelque chose dans la durée - ne vous fiez pas au PRU seul pour juger un round, il baisse mécaniquement à chaque rachat sans que ce soit forcément gagnant.</t>
        </is>
      </c>
    </row>
    <row r="122" ht="128.25" customHeight="1" s="188">
      <c r="A122" s="366" t="inlineStr">
        <is>
          <t>Date</t>
        </is>
      </c>
      <c r="B122" s="366" t="inlineStr">
        <is>
          <t>Titre</t>
        </is>
      </c>
      <c r="C122" s="366" t="inlineStr">
        <is>
          <t>Prix de vente (devise)</t>
        </is>
      </c>
      <c r="D122" s="366" t="inlineStr">
        <is>
          <t>Prix de rachat (devise)</t>
        </is>
      </c>
      <c r="E122" s="366" t="inlineStr">
        <is>
          <t>Gain vs Scénario A (€)</t>
        </is>
      </c>
      <c r="F122" s="366" t="inlineStr">
        <is>
          <t>Cumul (€)</t>
        </is>
      </c>
    </row>
    <row r="123" ht="15" customHeight="1" s="188">
      <c r="A123" s="367" t="n">
        <v>46266</v>
      </c>
      <c r="B123" s="355" t="inlineStr">
        <is>
          <t>ASTS</t>
        </is>
      </c>
      <c r="C123" s="358" t="n">
        <v>63.13</v>
      </c>
      <c r="D123" s="358" t="n">
        <v>57.9</v>
      </c>
      <c r="E123" s="352" t="n">
        <v>523</v>
      </c>
      <c r="F123" s="338">
        <f>IF(E123="","",0+E123)</f>
        <v/>
      </c>
    </row>
    <row r="124" ht="15" customHeight="1" s="188">
      <c r="A124" s="367" t="n"/>
      <c r="B124" s="355" t="n"/>
      <c r="C124" s="358" t="n"/>
      <c r="D124" s="358" t="n"/>
      <c r="E124" s="352" t="n"/>
      <c r="F124" s="338">
        <f>IF(E124="","",F123+E124)</f>
        <v/>
      </c>
    </row>
    <row r="125" ht="15" customHeight="1" s="188">
      <c r="A125" s="367" t="n"/>
      <c r="B125" s="355" t="n"/>
      <c r="C125" s="358" t="n"/>
      <c r="D125" s="358" t="n"/>
      <c r="E125" s="352" t="n"/>
      <c r="F125" s="338">
        <f>IF(E125="","",F124+E125)</f>
        <v/>
      </c>
    </row>
    <row r="126" ht="15" customHeight="1" s="188">
      <c r="A126" s="367" t="n"/>
      <c r="B126" s="355" t="n"/>
      <c r="C126" s="358" t="n"/>
      <c r="D126" s="358" t="n"/>
      <c r="E126" s="352" t="n"/>
      <c r="F126" s="338">
        <f>IF(E126="","",F125+E126)</f>
        <v/>
      </c>
    </row>
    <row r="127" ht="15" customHeight="1" s="188">
      <c r="A127" s="367" t="n"/>
      <c r="B127" s="355" t="n"/>
      <c r="C127" s="358" t="n"/>
      <c r="D127" s="358" t="n"/>
      <c r="E127" s="352" t="n"/>
      <c r="F127" s="338">
        <f>IF(E127="","",F126+E127)</f>
        <v/>
      </c>
    </row>
    <row r="128" ht="15" customHeight="1" s="188">
      <c r="A128" s="367" t="n"/>
      <c r="B128" s="355" t="n"/>
      <c r="C128" s="358" t="n"/>
      <c r="D128" s="358" t="n"/>
      <c r="E128" s="352" t="n"/>
      <c r="F128" s="338">
        <f>IF(E128="","",F127+E128)</f>
        <v/>
      </c>
    </row>
    <row r="129" ht="15" customHeight="1" s="188">
      <c r="A129" s="367" t="n"/>
      <c r="B129" s="355" t="n"/>
      <c r="C129" s="358" t="n"/>
      <c r="D129" s="358" t="n"/>
      <c r="E129" s="352" t="n"/>
      <c r="F129" s="338">
        <f>IF(E129="","",F128+E129)</f>
        <v/>
      </c>
    </row>
    <row r="130" ht="15" customHeight="1" s="188">
      <c r="A130" s="367" t="n"/>
      <c r="B130" s="355" t="n"/>
      <c r="C130" s="358" t="n"/>
      <c r="D130" s="358" t="n"/>
      <c r="E130" s="352" t="n"/>
      <c r="F130" s="338">
        <f>IF(E130="","",F129+E130)</f>
        <v/>
      </c>
    </row>
    <row r="131" ht="15" customHeight="1" s="188">
      <c r="A131" s="367" t="n"/>
      <c r="B131" s="355" t="n"/>
      <c r="C131" s="358" t="n"/>
      <c r="D131" s="358" t="n"/>
      <c r="E131" s="352" t="n"/>
      <c r="F131" s="338">
        <f>IF(E131="","",F130+E131)</f>
        <v/>
      </c>
    </row>
    <row r="132" ht="15" customHeight="1" s="188">
      <c r="A132" s="367" t="n"/>
      <c r="B132" s="355" t="n"/>
      <c r="C132" s="358" t="n"/>
      <c r="D132" s="358" t="n"/>
      <c r="E132" s="352" t="n"/>
      <c r="F132" s="338">
        <f>IF(E132="","",F131+E132)</f>
        <v/>
      </c>
    </row>
    <row r="133" ht="15" customHeight="1" s="188">
      <c r="A133" s="367" t="n"/>
      <c r="B133" s="355" t="n"/>
      <c r="C133" s="358" t="n"/>
      <c r="D133" s="358" t="n"/>
      <c r="E133" s="352" t="n"/>
      <c r="F133" s="338">
        <f>IF(E133="","",F132+E133)</f>
        <v/>
      </c>
    </row>
    <row r="134" ht="15" customHeight="1" s="188">
      <c r="A134" s="367" t="n"/>
      <c r="B134" s="355" t="n"/>
      <c r="C134" s="358" t="n"/>
      <c r="D134" s="358" t="n"/>
      <c r="E134" s="352" t="n"/>
      <c r="F134" s="338">
        <f>IF(E134="","",F133+E134)</f>
        <v/>
      </c>
    </row>
    <row r="135" ht="15" customHeight="1" s="188">
      <c r="A135" s="367" t="n"/>
      <c r="B135" s="355" t="n"/>
      <c r="C135" s="358" t="n"/>
      <c r="D135" s="358" t="n"/>
      <c r="E135" s="352" t="n"/>
      <c r="F135" s="338">
        <f>IF(E135="","",F134+E135)</f>
        <v/>
      </c>
    </row>
    <row r="136" ht="15" customHeight="1" s="188">
      <c r="A136" s="367" t="n"/>
      <c r="B136" s="355" t="n"/>
      <c r="C136" s="358" t="n"/>
      <c r="D136" s="358" t="n"/>
      <c r="E136" s="352" t="n"/>
      <c r="F136" s="338">
        <f>IF(E136="","",F135+E136)</f>
        <v/>
      </c>
    </row>
    <row r="137" ht="15" customHeight="1" s="188">
      <c r="A137" s="367" t="n"/>
      <c r="B137" s="355" t="n"/>
      <c r="C137" s="358" t="n"/>
      <c r="D137" s="358" t="n"/>
      <c r="E137" s="352" t="n"/>
      <c r="F137" s="338">
        <f>IF(E137="","",F136+E137)</f>
        <v/>
      </c>
    </row>
    <row r="138" ht="15" customHeight="1" s="188">
      <c r="D138" s="332" t="inlineStr">
        <is>
          <t>TOTAL</t>
        </is>
      </c>
      <c r="E138" s="338">
        <f>SUM(E123:E137)</f>
        <v/>
      </c>
    </row>
    <row r="141" ht="15" customHeight="1" s="188">
      <c r="A141" s="332" t="inlineStr">
        <is>
          <t>BILAN PERFORMANCE GLOBALE - RENTABILITE SUR LE CAPITAL INITIAL</t>
        </is>
      </c>
    </row>
    <row r="142" ht="15" customHeight="1" s="188">
      <c r="A142" s="330" t="inlineStr">
        <is>
          <t>Combine le cumul des gains déjà réalisés (journal ci-dessus) et la plus/moins-value latente actuelle de la position, rapportés au capital initialement investi (quantité × PRU initial). Donne un vrai % de rentabilité globale. Le 'Vrai point de rentabilité cumulé' (D150) va plus loin : c'est le prix, tous rounds confondus, pour lequel votre performance totale = 0 - contrairement au PRU affiché dans le Bloc 4 qui ne concerne que le round en cours.</t>
        </is>
      </c>
    </row>
    <row r="143" ht="15" customHeight="1" s="188">
      <c r="C143" s="333" t="inlineStr">
        <is>
          <t>Montant investi initial (€)</t>
        </is>
      </c>
      <c r="D143" s="334">
        <f>$B$145*$B$146/(IF($B$144="EUR",1,$B$147))</f>
        <v/>
      </c>
    </row>
    <row r="144" ht="15" customHeight="1" s="188">
      <c r="A144" s="333" t="inlineStr">
        <is>
          <t>Devise</t>
        </is>
      </c>
      <c r="B144" s="355" t="inlineStr">
        <is>
          <t>USD</t>
        </is>
      </c>
      <c r="C144" s="333" t="inlineStr">
        <is>
          <t>Valeur actuelle de la position (€)</t>
        </is>
      </c>
      <c r="D144" s="334">
        <f>$B$145*$B$148/(IF($B$144="EUR",1,$B$149))</f>
        <v/>
      </c>
    </row>
    <row r="145" ht="15" customHeight="1" s="188">
      <c r="A145" s="333" t="inlineStr">
        <is>
          <t>Quantité initiale achetée</t>
        </is>
      </c>
      <c r="B145" s="356" t="n">
        <v>10.5</v>
      </c>
      <c r="C145" s="333" t="inlineStr">
        <is>
          <t>PV/MV latente actuelle (€)</t>
        </is>
      </c>
      <c r="D145" s="357">
        <f>D144-D143</f>
        <v/>
      </c>
    </row>
    <row r="146" ht="15" customHeight="1" s="188">
      <c r="A146" s="333" t="inlineStr">
        <is>
          <t>PRU initial (devise)</t>
        </is>
      </c>
      <c r="B146" s="358" t="n">
        <v>1467</v>
      </c>
      <c r="C146" s="333" t="inlineStr">
        <is>
          <t>Cumul gains déjà réalisés (journal) (€)</t>
        </is>
      </c>
      <c r="D146" s="338">
        <f>IF(E138="",0,E138)</f>
        <v/>
      </c>
    </row>
    <row r="147" ht="15" customHeight="1" s="188">
      <c r="A147" s="333" t="inlineStr">
        <is>
          <t>Taux €/$ à l'achat initial (si USD)</t>
        </is>
      </c>
      <c r="B147" s="359" t="n">
        <v>1.1385</v>
      </c>
      <c r="C147" s="337" t="inlineStr">
        <is>
          <t>PERFORMANCE TOTALE (€)</t>
        </is>
      </c>
      <c r="D147" s="350">
        <f>D145+D146</f>
        <v/>
      </c>
    </row>
    <row r="148" ht="15" customHeight="1" s="188">
      <c r="A148" s="333" t="inlineStr">
        <is>
          <t>Prix actuel du marché (devise)</t>
        </is>
      </c>
      <c r="B148" s="358" t="n">
        <v>1220</v>
      </c>
      <c r="C148" s="337" t="inlineStr">
        <is>
          <t>RENTABILITE GLOBALE (%)</t>
        </is>
      </c>
      <c r="D148" s="368">
        <f>IF(D143=0,"",D147/D143)</f>
        <v/>
      </c>
    </row>
    <row r="149" ht="15" customHeight="1" s="188">
      <c r="A149" s="333" t="inlineStr">
        <is>
          <t>Taux €/$ actuel (si USD)</t>
        </is>
      </c>
      <c r="B149" s="359" t="n">
        <v>1.152</v>
      </c>
      <c r="C149" s="336">
        <f>IF(OR($B$149&lt;0.8,$B$149&gt;1.3),"⚠ Taux inhabituel (attendu ~1,00-1,20)","")</f>
        <v/>
      </c>
    </row>
    <row r="150" ht="15" customHeight="1" s="188">
      <c r="C150" s="333" t="inlineStr">
        <is>
          <t>→ Vrai point de rentabilité cumulé (devise/action, réalisé inclus)</t>
        </is>
      </c>
      <c r="D150" s="350">
        <f>IF($B$145=0,"",(D143-D146)/$B$145)</f>
        <v/>
      </c>
      <c r="E150" s="364">
        <f>IF(OR(D150="",$B$144="EUR"),"",D150*$B$149)</f>
        <v/>
      </c>
    </row>
    <row r="151" ht="15" customHeight="1" s="188">
      <c r="A151" s="330" t="inlineStr">
        <is>
          <t>Rentabilité globale = (plus/moins-value latente actuelle + tous les gains déjà encaissés via le journal) ÷ capital investi au départ. C'est le seul chiffre qui répond vraiment à 'est-ce que je gagne de l'argent sur cette position, tout compris ?'</t>
        </is>
      </c>
    </row>
    <row r="154">
      <c r="A154" s="332" t="inlineStr">
        <is>
          <t>RENTABILITÉ MULTI ALLERS-RETOURS (1 titre, en $)</t>
        </is>
      </c>
    </row>
    <row r="155">
      <c r="A155" s="330" t="inlineStr">
        <is>
          <t>Saisissez chaque achat (A) / vente (V) dans le tableau jaune ci-dessous. Une fois rentable : effacez simplement les cellules jaunes du tableau. Les lignes d'exemple sont à écraser.</t>
        </is>
      </c>
    </row>
    <row r="156">
      <c r="D156" s="332" t="inlineStr">
        <is>
          <t>RÉSULTATS</t>
        </is>
      </c>
    </row>
    <row r="157">
      <c r="A157" s="333" t="inlineStr">
        <is>
          <t>Cours actuel ($)</t>
        </is>
      </c>
      <c r="B157" s="369" t="n">
        <v>105</v>
      </c>
      <c r="D157" s="333" t="inlineStr">
        <is>
          <t>Quantité détenue</t>
        </is>
      </c>
      <c r="E157" s="370">
        <f>SUMIF($A$168:$A$187,"A",$B$168:$B$187)-SUMIF($A$168:$A$187,"V",$B$168:$B$187)</f>
        <v/>
      </c>
    </row>
    <row r="158">
      <c r="A158" s="333" t="inlineStr">
        <is>
          <t>Frais de vente estimés ($)</t>
        </is>
      </c>
      <c r="B158" s="369" t="n">
        <v>1</v>
      </c>
      <c r="D158" s="333" t="inlineStr">
        <is>
          <t>PRU actuel ($, frais d'achat inclus)</t>
        </is>
      </c>
      <c r="E158" s="371">
        <f>IFERROR(LOOKUP(2,1/ISNUMBER($F$168:$F$187),$F$168:$F$187),0)</f>
        <v/>
      </c>
    </row>
    <row r="159">
      <c r="A159" s="333" t="inlineStr">
        <is>
          <t>Gain net visé ($)</t>
        </is>
      </c>
      <c r="B159" s="369" t="n">
        <v>0</v>
      </c>
      <c r="D159" s="333" t="inlineStr">
        <is>
          <t>Résultat réalisé cumulé ($)</t>
        </is>
      </c>
      <c r="E159" s="371">
        <f>IFERROR(LOOKUP(2,1/ISNUMBER($G$168:$G$187),$G$168:$G$187),0)</f>
        <v/>
      </c>
    </row>
    <row r="160">
      <c r="D160" s="333" t="inlineStr">
        <is>
          <t>Net investi restant ($)</t>
        </is>
      </c>
      <c r="E160" s="371">
        <f>SUMPRODUCT(($A$168:$A$187="A")*($B$168:$B$187*$C$168:$C$187+$D$168:$D$187))-SUMPRODUCT(($A$168:$A$187="V")*($B$168:$B$187*$C$168:$C$187-$D$168:$D$187))</f>
        <v/>
      </c>
    </row>
    <row r="161">
      <c r="D161" s="372" t="inlineStr">
        <is>
          <t>→ PRIX DE RENTABILITÉ ($)</t>
        </is>
      </c>
      <c r="E161" s="373">
        <f>IF($E$157&gt;0,($E$160+$B$158)/$E$157,"")</f>
        <v/>
      </c>
    </row>
    <row r="162">
      <c r="D162" s="333" t="inlineStr">
        <is>
          <t>→ Prix de vente pour le gain visé ($)</t>
        </is>
      </c>
      <c r="E162" s="371">
        <f>IF($E$157&gt;0,($E$160+$B$158+$B$159)/$E$157,"")</f>
        <v/>
      </c>
    </row>
    <row r="163">
      <c r="D163" s="333" t="inlineStr">
        <is>
          <t>Résultat total au cours actuel ($)</t>
        </is>
      </c>
      <c r="E163" s="371">
        <f>$E$157*$B$157-$B$158-$E$160</f>
        <v/>
      </c>
    </row>
    <row r="164">
      <c r="D164" s="333" t="inlineStr">
        <is>
          <t>Verdict</t>
        </is>
      </c>
      <c r="E164" s="338">
        <f>IF($E$157&lt;=0,IF($E$160&lt;0,"✓ Position soldée : gain de "&amp;TEXT(-$E$160,"0.00")&amp;" $","✗ Position soldée : perte de "&amp;TEXT($E$160,"0.00")&amp;" $"),IF($B$157&gt;=$E$161,"✓ Rentable au cours actuel","✗ Pas encore rentable (manque "&amp;TEXT($E$161-$B$157,"0.00")&amp;" $/action)"))</f>
        <v/>
      </c>
    </row>
    <row r="167">
      <c r="A167" s="315" t="inlineStr">
        <is>
          <t>Sens (A/V)</t>
        </is>
      </c>
      <c r="B167" s="315" t="inlineStr">
        <is>
          <t>Quantité</t>
        </is>
      </c>
      <c r="C167" s="315" t="inlineStr">
        <is>
          <t>Prix ($)</t>
        </is>
      </c>
      <c r="D167" s="315" t="inlineStr">
        <is>
          <t>Frais ($)</t>
        </is>
      </c>
      <c r="E167" s="315" t="inlineStr">
        <is>
          <t>Qté détenue</t>
        </is>
      </c>
      <c r="F167" s="315" t="inlineStr">
        <is>
          <t>PRU ($)</t>
        </is>
      </c>
      <c r="G167" s="315" t="inlineStr">
        <is>
          <t>Réalisé cumulé ($)</t>
        </is>
      </c>
      <c r="H167" s="315" t="inlineStr">
        <is>
          <t>Net investi cumulé ($)</t>
        </is>
      </c>
      <c r="I167" s="315" t="inlineStr">
        <is>
          <t>Prix de rentabilité ($)</t>
        </is>
      </c>
    </row>
    <row r="168">
      <c r="A168" s="352" t="inlineStr">
        <is>
          <t>A</t>
        </is>
      </c>
      <c r="B168" s="374" t="n">
        <v>210</v>
      </c>
      <c r="C168" s="369" t="n">
        <v>67.64</v>
      </c>
      <c r="D168" s="369" t="n">
        <v>1</v>
      </c>
      <c r="E168" s="370">
        <f>IF(B168="","",N(E167)+IF(A168="A",B168,-B168))</f>
        <v/>
      </c>
      <c r="F168" s="371">
        <f>IF(B168="","",IF(A168="A",(N(E167)*N(F167)+B168*C168+D168)/E168,IF(E168=0,0,N(F167))))</f>
        <v/>
      </c>
      <c r="G168" s="371">
        <f>IF(B168="","",N(G167)+IF(A168="V",B168*(C168-N(F167))-D168,0))</f>
        <v/>
      </c>
      <c r="H168" s="371">
        <f>IF(B168="","",N(H167)+IF(A168="A",B168*C168+D168,-(B168*C168-D168)))</f>
        <v/>
      </c>
      <c r="I168" s="371">
        <f>IF(B168="","",IF(E168&gt;0,H168/E168,""))</f>
        <v/>
      </c>
    </row>
    <row r="169">
      <c r="A169" s="352" t="inlineStr">
        <is>
          <t>V</t>
        </is>
      </c>
      <c r="B169" s="374" t="n">
        <v>100</v>
      </c>
      <c r="C169" s="369" t="n">
        <v>63</v>
      </c>
      <c r="D169" s="369" t="n">
        <v>1</v>
      </c>
      <c r="E169" s="370">
        <f>IF(B169="","",N(E168)+IF(A169="A",B169,-B169))</f>
        <v/>
      </c>
      <c r="F169" s="371">
        <f>IF(B169="","",IF(A169="A",(N(E168)*N(F168)+B169*C169+D169)/E169,IF(E169=0,0,N(F168))))</f>
        <v/>
      </c>
      <c r="G169" s="371">
        <f>IF(B169="","",N(G168)+IF(A169="V",B169*(C169-N(F168))-D169,0))</f>
        <v/>
      </c>
      <c r="H169" s="371">
        <f>IF(B169="","",N(H168)+IF(A169="A",B169*C169+D169,-(B169*C169-D169)))</f>
        <v/>
      </c>
      <c r="I169" s="371">
        <f>IF(B169="","",IF(E169&gt;0,H169/E169,""))</f>
        <v/>
      </c>
    </row>
    <row r="170">
      <c r="A170" s="352" t="inlineStr">
        <is>
          <t>A</t>
        </is>
      </c>
      <c r="B170" s="374" t="n">
        <v>100</v>
      </c>
      <c r="C170" s="369" t="n">
        <v>54</v>
      </c>
      <c r="D170" s="369" t="n">
        <v>1</v>
      </c>
      <c r="E170" s="370">
        <f>IF(B170="","",N(E169)+IF(A170="A",B170,-B170))</f>
        <v/>
      </c>
      <c r="F170" s="371">
        <f>IF(B170="","",IF(A170="A",(N(E169)*N(F169)+B170*C170+D170)/E170,IF(E170=0,0,N(F169))))</f>
        <v/>
      </c>
      <c r="G170" s="371">
        <f>IF(B170="","",N(G169)+IF(A170="V",B170*(C170-N(F169))-D170,0))</f>
        <v/>
      </c>
      <c r="H170" s="371">
        <f>IF(B170="","",N(H169)+IF(A170="A",B170*C170+D170,-(B170*C170-D170)))</f>
        <v/>
      </c>
      <c r="I170" s="371">
        <f>IF(B170="","",IF(E170&gt;0,H170/E170,""))</f>
        <v/>
      </c>
    </row>
    <row r="171">
      <c r="A171" s="352" t="inlineStr">
        <is>
          <t>V</t>
        </is>
      </c>
      <c r="B171" s="374" t="n">
        <v>100</v>
      </c>
      <c r="C171" s="369" t="n">
        <v>63</v>
      </c>
      <c r="D171" s="369" t="n">
        <v>1</v>
      </c>
      <c r="E171" s="370">
        <f>IF(B171="","",N(E170)+IF(A171="A",B171,-B171))</f>
        <v/>
      </c>
      <c r="F171" s="371">
        <f>IF(B171="","",IF(A171="A",(N(E170)*N(F170)+B171*C171+D171)/E171,IF(E171=0,0,N(F170))))</f>
        <v/>
      </c>
      <c r="G171" s="371">
        <f>IF(B171="","",N(G170)+IF(A171="V",B171*(C171-N(F170))-D171,0))</f>
        <v/>
      </c>
      <c r="H171" s="371">
        <f>IF(B171="","",N(H170)+IF(A171="A",B171*C171+D171,-(B171*C171-D171)))</f>
        <v/>
      </c>
      <c r="I171" s="371">
        <f>IF(B171="","",IF(E171&gt;0,H171/E171,""))</f>
        <v/>
      </c>
    </row>
    <row r="172">
      <c r="A172" s="352" t="inlineStr">
        <is>
          <t>A</t>
        </is>
      </c>
      <c r="B172" s="374" t="n">
        <v>110</v>
      </c>
      <c r="C172" s="369" t="n">
        <v>59</v>
      </c>
      <c r="D172" s="369" t="n">
        <v>1</v>
      </c>
      <c r="E172" s="370">
        <f>IF(B172="","",N(E171)+IF(A172="A",B172,-B172))</f>
        <v/>
      </c>
      <c r="F172" s="371">
        <f>IF(B172="","",IF(A172="A",(N(E171)*N(F171)+B172*C172+D172)/E172,IF(E172=0,0,N(F171))))</f>
        <v/>
      </c>
      <c r="G172" s="371">
        <f>IF(B172="","",N(G171)+IF(A172="V",B172*(C172-N(F171))-D172,0))</f>
        <v/>
      </c>
      <c r="H172" s="371">
        <f>IF(B172="","",N(H171)+IF(A172="A",B172*C172+D172,-(B172*C172-D172)))</f>
        <v/>
      </c>
      <c r="I172" s="371">
        <f>IF(B172="","",IF(E172&gt;0,H172/E172,""))</f>
        <v/>
      </c>
    </row>
    <row r="173">
      <c r="A173" s="352" t="n"/>
      <c r="B173" s="374" t="n"/>
      <c r="C173" s="369" t="n"/>
      <c r="D173" s="369" t="n"/>
      <c r="E173" s="370">
        <f>IF(B173="","",N(E172)+IF(A173="A",B173,-B173))</f>
        <v/>
      </c>
      <c r="F173" s="371">
        <f>IF(B173="","",IF(A173="A",(N(E172)*N(F172)+B173*C173+D173)/E173,IF(E173=0,0,N(F172))))</f>
        <v/>
      </c>
      <c r="G173" s="371">
        <f>IF(B173="","",N(G172)+IF(A173="V",B173*(C173-N(F172))-D173,0))</f>
        <v/>
      </c>
      <c r="H173" s="371">
        <f>IF(B173="","",N(H172)+IF(A173="A",B173*C173+D173,-(B173*C173-D173)))</f>
        <v/>
      </c>
      <c r="I173" s="371">
        <f>IF(B173="","",IF(E173&gt;0,H173/E173,""))</f>
        <v/>
      </c>
    </row>
    <row r="174">
      <c r="A174" s="352" t="n"/>
      <c r="B174" s="374" t="n"/>
      <c r="C174" s="369" t="n"/>
      <c r="D174" s="369" t="n"/>
      <c r="E174" s="370">
        <f>IF(B174="","",N(E173)+IF(A174="A",B174,-B174))</f>
        <v/>
      </c>
      <c r="F174" s="371">
        <f>IF(B174="","",IF(A174="A",(N(E173)*N(F173)+B174*C174+D174)/E174,IF(E174=0,0,N(F173))))</f>
        <v/>
      </c>
      <c r="G174" s="371">
        <f>IF(B174="","",N(G173)+IF(A174="V",B174*(C174-N(F173))-D174,0))</f>
        <v/>
      </c>
      <c r="H174" s="371">
        <f>IF(B174="","",N(H173)+IF(A174="A",B174*C174+D174,-(B174*C174-D174)))</f>
        <v/>
      </c>
      <c r="I174" s="371">
        <f>IF(B174="","",IF(E174&gt;0,H174/E174,""))</f>
        <v/>
      </c>
    </row>
    <row r="175">
      <c r="A175" s="352" t="n"/>
      <c r="B175" s="374" t="n"/>
      <c r="C175" s="369" t="n"/>
      <c r="D175" s="369" t="n"/>
      <c r="E175" s="370">
        <f>IF(B175="","",N(E174)+IF(A175="A",B175,-B175))</f>
        <v/>
      </c>
      <c r="F175" s="371">
        <f>IF(B175="","",IF(A175="A",(N(E174)*N(F174)+B175*C175+D175)/E175,IF(E175=0,0,N(F174))))</f>
        <v/>
      </c>
      <c r="G175" s="371">
        <f>IF(B175="","",N(G174)+IF(A175="V",B175*(C175-N(F174))-D175,0))</f>
        <v/>
      </c>
      <c r="H175" s="371">
        <f>IF(B175="","",N(H174)+IF(A175="A",B175*C175+D175,-(B175*C175-D175)))</f>
        <v/>
      </c>
      <c r="I175" s="371">
        <f>IF(B175="","",IF(E175&gt;0,H175/E175,""))</f>
        <v/>
      </c>
    </row>
    <row r="176">
      <c r="A176" s="352" t="n"/>
      <c r="B176" s="374" t="n"/>
      <c r="C176" s="369" t="n"/>
      <c r="D176" s="369" t="n"/>
      <c r="E176" s="370">
        <f>IF(B176="","",N(E175)+IF(A176="A",B176,-B176))</f>
        <v/>
      </c>
      <c r="F176" s="371">
        <f>IF(B176="","",IF(A176="A",(N(E175)*N(F175)+B176*C176+D176)/E176,IF(E176=0,0,N(F175))))</f>
        <v/>
      </c>
      <c r="G176" s="371">
        <f>IF(B176="","",N(G175)+IF(A176="V",B176*(C176-N(F175))-D176,0))</f>
        <v/>
      </c>
      <c r="H176" s="371">
        <f>IF(B176="","",N(H175)+IF(A176="A",B176*C176+D176,-(B176*C176-D176)))</f>
        <v/>
      </c>
      <c r="I176" s="371">
        <f>IF(B176="","",IF(E176&gt;0,H176/E176,""))</f>
        <v/>
      </c>
    </row>
    <row r="177">
      <c r="A177" s="352" t="n"/>
      <c r="B177" s="374" t="n"/>
      <c r="C177" s="369" t="n"/>
      <c r="D177" s="369" t="n"/>
      <c r="E177" s="370">
        <f>IF(B177="","",N(E176)+IF(A177="A",B177,-B177))</f>
        <v/>
      </c>
      <c r="F177" s="371">
        <f>IF(B177="","",IF(A177="A",(N(E176)*N(F176)+B177*C177+D177)/E177,IF(E177=0,0,N(F176))))</f>
        <v/>
      </c>
      <c r="G177" s="371">
        <f>IF(B177="","",N(G176)+IF(A177="V",B177*(C177-N(F176))-D177,0))</f>
        <v/>
      </c>
      <c r="H177" s="371">
        <f>IF(B177="","",N(H176)+IF(A177="A",B177*C177+D177,-(B177*C177-D177)))</f>
        <v/>
      </c>
      <c r="I177" s="371">
        <f>IF(B177="","",IF(E177&gt;0,H177/E177,""))</f>
        <v/>
      </c>
    </row>
    <row r="178">
      <c r="A178" s="352" t="n"/>
      <c r="B178" s="374" t="n"/>
      <c r="C178" s="369" t="n"/>
      <c r="D178" s="369" t="n"/>
      <c r="E178" s="370">
        <f>IF(B178="","",N(E177)+IF(A178="A",B178,-B178))</f>
        <v/>
      </c>
      <c r="F178" s="371">
        <f>IF(B178="","",IF(A178="A",(N(E177)*N(F177)+B178*C178+D178)/E178,IF(E178=0,0,N(F177))))</f>
        <v/>
      </c>
      <c r="G178" s="371">
        <f>IF(B178="","",N(G177)+IF(A178="V",B178*(C178-N(F177))-D178,0))</f>
        <v/>
      </c>
      <c r="H178" s="371">
        <f>IF(B178="","",N(H177)+IF(A178="A",B178*C178+D178,-(B178*C178-D178)))</f>
        <v/>
      </c>
      <c r="I178" s="371">
        <f>IF(B178="","",IF(E178&gt;0,H178/E178,""))</f>
        <v/>
      </c>
    </row>
    <row r="179">
      <c r="A179" s="352" t="n"/>
      <c r="B179" s="374" t="n"/>
      <c r="C179" s="369" t="n"/>
      <c r="D179" s="369" t="n"/>
      <c r="E179" s="370">
        <f>IF(B179="","",N(E178)+IF(A179="A",B179,-B179))</f>
        <v/>
      </c>
      <c r="F179" s="371">
        <f>IF(B179="","",IF(A179="A",(N(E178)*N(F178)+B179*C179+D179)/E179,IF(E179=0,0,N(F178))))</f>
        <v/>
      </c>
      <c r="G179" s="371">
        <f>IF(B179="","",N(G178)+IF(A179="V",B179*(C179-N(F178))-D179,0))</f>
        <v/>
      </c>
      <c r="H179" s="371">
        <f>IF(B179="","",N(H178)+IF(A179="A",B179*C179+D179,-(B179*C179-D179)))</f>
        <v/>
      </c>
      <c r="I179" s="371">
        <f>IF(B179="","",IF(E179&gt;0,H179/E179,""))</f>
        <v/>
      </c>
    </row>
    <row r="180">
      <c r="A180" s="352" t="n"/>
      <c r="B180" s="374" t="n"/>
      <c r="C180" s="369" t="n"/>
      <c r="D180" s="369" t="n"/>
      <c r="E180" s="370">
        <f>IF(B180="","",N(E179)+IF(A180="A",B180,-B180))</f>
        <v/>
      </c>
      <c r="F180" s="371">
        <f>IF(B180="","",IF(A180="A",(N(E179)*N(F179)+B180*C180+D180)/E180,IF(E180=0,0,N(F179))))</f>
        <v/>
      </c>
      <c r="G180" s="371">
        <f>IF(B180="","",N(G179)+IF(A180="V",B180*(C180-N(F179))-D180,0))</f>
        <v/>
      </c>
      <c r="H180" s="371">
        <f>IF(B180="","",N(H179)+IF(A180="A",B180*C180+D180,-(B180*C180-D180)))</f>
        <v/>
      </c>
      <c r="I180" s="371">
        <f>IF(B180="","",IF(E180&gt;0,H180/E180,""))</f>
        <v/>
      </c>
    </row>
    <row r="181">
      <c r="A181" s="352" t="n"/>
      <c r="B181" s="374" t="n"/>
      <c r="C181" s="369" t="n"/>
      <c r="D181" s="369" t="n"/>
      <c r="E181" s="370">
        <f>IF(B181="","",N(E180)+IF(A181="A",B181,-B181))</f>
        <v/>
      </c>
      <c r="F181" s="371">
        <f>IF(B181="","",IF(A181="A",(N(E180)*N(F180)+B181*C181+D181)/E181,IF(E181=0,0,N(F180))))</f>
        <v/>
      </c>
      <c r="G181" s="371">
        <f>IF(B181="","",N(G180)+IF(A181="V",B181*(C181-N(F180))-D181,0))</f>
        <v/>
      </c>
      <c r="H181" s="371">
        <f>IF(B181="","",N(H180)+IF(A181="A",B181*C181+D181,-(B181*C181-D181)))</f>
        <v/>
      </c>
      <c r="I181" s="371">
        <f>IF(B181="","",IF(E181&gt;0,H181/E181,""))</f>
        <v/>
      </c>
    </row>
    <row r="182">
      <c r="A182" s="352" t="n"/>
      <c r="B182" s="374" t="n"/>
      <c r="C182" s="369" t="n"/>
      <c r="D182" s="369" t="n"/>
      <c r="E182" s="370">
        <f>IF(B182="","",N(E181)+IF(A182="A",B182,-B182))</f>
        <v/>
      </c>
      <c r="F182" s="371">
        <f>IF(B182="","",IF(A182="A",(N(E181)*N(F181)+B182*C182+D182)/E182,IF(E182=0,0,N(F181))))</f>
        <v/>
      </c>
      <c r="G182" s="371">
        <f>IF(B182="","",N(G181)+IF(A182="V",B182*(C182-N(F181))-D182,0))</f>
        <v/>
      </c>
      <c r="H182" s="371">
        <f>IF(B182="","",N(H181)+IF(A182="A",B182*C182+D182,-(B182*C182-D182)))</f>
        <v/>
      </c>
      <c r="I182" s="371">
        <f>IF(B182="","",IF(E182&gt;0,H182/E182,""))</f>
        <v/>
      </c>
    </row>
    <row r="183">
      <c r="A183" s="352" t="n"/>
      <c r="B183" s="374" t="n"/>
      <c r="C183" s="369" t="n"/>
      <c r="D183" s="369" t="n"/>
      <c r="E183" s="370">
        <f>IF(B183="","",N(E182)+IF(A183="A",B183,-B183))</f>
        <v/>
      </c>
      <c r="F183" s="371">
        <f>IF(B183="","",IF(A183="A",(N(E182)*N(F182)+B183*C183+D183)/E183,IF(E183=0,0,N(F182))))</f>
        <v/>
      </c>
      <c r="G183" s="371">
        <f>IF(B183="","",N(G182)+IF(A183="V",B183*(C183-N(F182))-D183,0))</f>
        <v/>
      </c>
      <c r="H183" s="371">
        <f>IF(B183="","",N(H182)+IF(A183="A",B183*C183+D183,-(B183*C183-D183)))</f>
        <v/>
      </c>
      <c r="I183" s="371">
        <f>IF(B183="","",IF(E183&gt;0,H183/E183,""))</f>
        <v/>
      </c>
    </row>
    <row r="184">
      <c r="A184" s="352" t="n"/>
      <c r="B184" s="374" t="n"/>
      <c r="C184" s="369" t="n"/>
      <c r="D184" s="369" t="n"/>
      <c r="E184" s="370">
        <f>IF(B184="","",N(E183)+IF(A184="A",B184,-B184))</f>
        <v/>
      </c>
      <c r="F184" s="371">
        <f>IF(B184="","",IF(A184="A",(N(E183)*N(F183)+B184*C184+D184)/E184,IF(E184=0,0,N(F183))))</f>
        <v/>
      </c>
      <c r="G184" s="371">
        <f>IF(B184="","",N(G183)+IF(A184="V",B184*(C184-N(F183))-D184,0))</f>
        <v/>
      </c>
      <c r="H184" s="371">
        <f>IF(B184="","",N(H183)+IF(A184="A",B184*C184+D184,-(B184*C184-D184)))</f>
        <v/>
      </c>
      <c r="I184" s="371">
        <f>IF(B184="","",IF(E184&gt;0,H184/E184,""))</f>
        <v/>
      </c>
    </row>
    <row r="185">
      <c r="A185" s="352" t="n"/>
      <c r="B185" s="374" t="n"/>
      <c r="C185" s="369" t="n"/>
      <c r="D185" s="369" t="n"/>
      <c r="E185" s="370">
        <f>IF(B185="","",N(E184)+IF(A185="A",B185,-B185))</f>
        <v/>
      </c>
      <c r="F185" s="371">
        <f>IF(B185="","",IF(A185="A",(N(E184)*N(F184)+B185*C185+D185)/E185,IF(E185=0,0,N(F184))))</f>
        <v/>
      </c>
      <c r="G185" s="371">
        <f>IF(B185="","",N(G184)+IF(A185="V",B185*(C185-N(F184))-D185,0))</f>
        <v/>
      </c>
      <c r="H185" s="371">
        <f>IF(B185="","",N(H184)+IF(A185="A",B185*C185+D185,-(B185*C185-D185)))</f>
        <v/>
      </c>
      <c r="I185" s="371">
        <f>IF(B185="","",IF(E185&gt;0,H185/E185,""))</f>
        <v/>
      </c>
    </row>
    <row r="186">
      <c r="A186" s="352" t="n"/>
      <c r="B186" s="374" t="n"/>
      <c r="C186" s="369" t="n"/>
      <c r="D186" s="369" t="n"/>
      <c r="E186" s="370">
        <f>IF(B186="","",N(E185)+IF(A186="A",B186,-B186))</f>
        <v/>
      </c>
      <c r="F186" s="371">
        <f>IF(B186="","",IF(A186="A",(N(E185)*N(F185)+B186*C186+D186)/E186,IF(E186=0,0,N(F185))))</f>
        <v/>
      </c>
      <c r="G186" s="371">
        <f>IF(B186="","",N(G185)+IF(A186="V",B186*(C186-N(F185))-D186,0))</f>
        <v/>
      </c>
      <c r="H186" s="371">
        <f>IF(B186="","",N(H185)+IF(A186="A",B186*C186+D186,-(B186*C186-D186)))</f>
        <v/>
      </c>
      <c r="I186" s="371">
        <f>IF(B186="","",IF(E186&gt;0,H186/E186,""))</f>
        <v/>
      </c>
    </row>
    <row r="187">
      <c r="A187" s="352" t="n"/>
      <c r="B187" s="374" t="n"/>
      <c r="C187" s="369" t="n"/>
      <c r="D187" s="369" t="n"/>
      <c r="E187" s="370">
        <f>IF(B187="","",N(E186)+IF(A187="A",B187,-B187))</f>
        <v/>
      </c>
      <c r="F187" s="371">
        <f>IF(B187="","",IF(A187="A",(N(E186)*N(F186)+B187*C187+D187)/E187,IF(E187=0,0,N(F186))))</f>
        <v/>
      </c>
      <c r="G187" s="371">
        <f>IF(B187="","",N(G186)+IF(A187="V",B187*(C187-N(F186))-D187,0))</f>
        <v/>
      </c>
      <c r="H187" s="371">
        <f>IF(B187="","",N(H186)+IF(A187="A",B187*C187+D187,-(B187*C187-D187)))</f>
        <v/>
      </c>
      <c r="I187" s="371">
        <f>IF(B187="","",IF(E187&gt;0,H187/E187,""))</f>
        <v/>
      </c>
    </row>
  </sheetData>
  <mergeCells count="33">
    <mergeCell ref="A116:D116"/>
    <mergeCell ref="A25:C25"/>
    <mergeCell ref="A141:D141"/>
    <mergeCell ref="A59:H59"/>
    <mergeCell ref="A107:H107"/>
    <mergeCell ref="A109:D109"/>
    <mergeCell ref="A60:H60"/>
    <mergeCell ref="A120:F120"/>
    <mergeCell ref="A1:H1"/>
    <mergeCell ref="A26:C26"/>
    <mergeCell ref="D45:E45"/>
    <mergeCell ref="D52:E52"/>
    <mergeCell ref="A108:H108"/>
    <mergeCell ref="A142:D142"/>
    <mergeCell ref="A80:H80"/>
    <mergeCell ref="A3:H3"/>
    <mergeCell ref="A110:D110"/>
    <mergeCell ref="A154:H154"/>
    <mergeCell ref="D156:E156"/>
    <mergeCell ref="A2:H2"/>
    <mergeCell ref="D103:E103"/>
    <mergeCell ref="A5:B5"/>
    <mergeCell ref="D4:E4"/>
    <mergeCell ref="D39:E39"/>
    <mergeCell ref="D83:E83"/>
    <mergeCell ref="A37:D37"/>
    <mergeCell ref="A81:H81"/>
    <mergeCell ref="D14:E14"/>
    <mergeCell ref="A119:F119"/>
    <mergeCell ref="A151:D151"/>
    <mergeCell ref="A155:H155"/>
    <mergeCell ref="D88:E88"/>
    <mergeCell ref="A39:B39"/>
  </mergeCells>
  <dataValidations count="2">
    <dataValidation sqref="B83 B144" showDropDown="0" showInputMessage="0" showErrorMessage="0" allowBlank="0" type="list" errorStyle="stop" operator="between">
      <formula1>"EUR,USD"</formula1>
      <formula2>0</formula2>
    </dataValidation>
    <dataValidation sqref="A168:A187" showDropDown="0" showInputMessage="0" showErrorMessage="0" allowBlank="1" type="list">
      <formula1>"A,V"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2026-10-27T14:16:44Z</dcterms:modified>
  <cp:revision>0</cp:revision>
</cp:coreProperties>
</file>